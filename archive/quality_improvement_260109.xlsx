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7"/>
  <workbookPr/>
  <mc:AlternateContent xmlns:mc="http://schemas.openxmlformats.org/markup-compatibility/2006">
    <mc:Choice Requires="x15">
      <x15ac:absPath xmlns:x15ac="http://schemas.microsoft.com/office/spreadsheetml/2010/11/ac" url="https://aiakr.sharepoint.com/sites/AICSRAssistantLiveChat/Shared Documents/02 수행사/99. 업무별/05.GenAI/04.테스트/품질평가_및_개선/"/>
    </mc:Choice>
  </mc:AlternateContent>
  <xr:revisionPtr revIDLastSave="0" documentId="8_{B8E26A8B-CE30-42D6-A3C1-6C87820D11AC}" xr6:coauthVersionLast="47" xr6:coauthVersionMax="47" xr10:uidLastSave="{00000000-0000-0000-0000-000000000000}"/>
  <bookViews>
    <workbookView xWindow="-108" yWindow="-108" windowWidth="23256" windowHeight="13896" firstSheet="3" activeTab="3" xr2:uid="{00000000-000D-0000-FFFF-FFFF00000000}"/>
  </bookViews>
  <sheets>
    <sheet name="정리" sheetId="7" state="hidden" r:id="rId1"/>
    <sheet name="타겟.모니터링" sheetId="2" state="hidden" r:id="rId2"/>
    <sheet name="타겟_모니터링" sheetId="8" state="hidden" r:id="rId3"/>
    <sheet name="타겟_모니터링_지표" sheetId="10" r:id="rId4"/>
    <sheet name="2026-03-27" sheetId="16" r:id="rId5"/>
    <sheet name="2026-03-20" sheetId="15" r:id="rId6"/>
    <sheet name="2026-03-13" sheetId="14" r:id="rId7"/>
    <sheet name="2026-03-06" sheetId="13" r:id="rId8"/>
    <sheet name="2026-02-27" sheetId="12" r:id="rId9"/>
    <sheet name="2026-02-13" sheetId="11" r:id="rId10"/>
    <sheet name="2026-02-06" sheetId="9" r:id="rId11"/>
    <sheet name="2026-01-30" sheetId="6" r:id="rId12"/>
    <sheet name="2026-01-23" sheetId="5" r:id="rId13"/>
    <sheet name="2026-01-16" sheetId="3" r:id="rId14"/>
    <sheet name="추이분석" sheetId="4" state="hidden" r:id="rId15"/>
    <sheet name="2026-01-09" sheetId="1"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8" i="10" l="1"/>
  <c r="P57" i="10"/>
  <c r="P56" i="10"/>
  <c r="P55" i="10"/>
  <c r="P14" i="10"/>
  <c r="AF23" i="10" l="1"/>
  <c r="O4" i="10" a="1"/>
  <c r="O4" i="10" s="1"/>
  <c r="O5" i="10"/>
  <c r="N4" i="10" a="1"/>
  <c r="N4" i="10" s="1"/>
  <c r="N8" i="10"/>
  <c r="O8" i="10"/>
  <c r="M4" i="10" a="1"/>
  <c r="M4" i="10" s="1"/>
  <c r="M5" i="10"/>
  <c r="N5" i="10"/>
  <c r="M7" i="10"/>
  <c r="N7" i="10"/>
  <c r="O7" i="10"/>
  <c r="M8" i="10"/>
  <c r="M14" i="10"/>
  <c r="N14" i="10"/>
  <c r="O14" i="10"/>
  <c r="L7" i="10"/>
  <c r="L4" i="10" a="1"/>
  <c r="L4" i="10" s="1"/>
  <c r="K5" i="10"/>
  <c r="L5" i="10"/>
  <c r="K4" i="10"/>
  <c r="K7" i="10"/>
  <c r="K8" i="10"/>
  <c r="L8" i="10"/>
  <c r="J8" i="10"/>
  <c r="I51" i="10"/>
  <c r="I8" i="10" s="1"/>
  <c r="K14" i="10"/>
  <c r="L14" i="10"/>
  <c r="J4" i="10"/>
  <c r="J5" i="10"/>
  <c r="J7" i="10"/>
  <c r="H8" i="10"/>
  <c r="J14" i="10"/>
  <c r="H14" i="10"/>
  <c r="I14" i="10"/>
  <c r="G14" i="10"/>
  <c r="I7" i="10"/>
  <c r="I5" i="10"/>
  <c r="I4" i="10"/>
  <c r="J48" i="8"/>
  <c r="J8" i="8"/>
  <c r="J4" i="8"/>
  <c r="J7" i="8"/>
  <c r="J5" i="8"/>
  <c r="I7" i="8"/>
  <c r="I8" i="8"/>
  <c r="I5" i="8"/>
  <c r="I4" i="8"/>
  <c r="X5" i="2"/>
  <c r="K4" i="7"/>
  <c r="L4" i="7"/>
  <c r="M4" i="7"/>
  <c r="N4" i="7"/>
  <c r="O4" i="7"/>
  <c r="P4" i="7"/>
  <c r="Q4" i="7"/>
  <c r="R4" i="7"/>
  <c r="S4" i="7"/>
  <c r="T4" i="7"/>
  <c r="U4" i="7"/>
  <c r="V4" i="7"/>
  <c r="W4" i="7"/>
  <c r="X4" i="7"/>
  <c r="Y4" i="7"/>
  <c r="Z4" i="7"/>
  <c r="K5" i="7"/>
  <c r="L5" i="7"/>
  <c r="M5" i="7"/>
  <c r="N5" i="7"/>
  <c r="O5" i="7"/>
  <c r="P5" i="7"/>
  <c r="Q5" i="7"/>
  <c r="R5" i="7"/>
  <c r="S5" i="7"/>
  <c r="T5" i="7"/>
  <c r="U5" i="7"/>
  <c r="V5" i="7"/>
  <c r="W5" i="7"/>
  <c r="X5" i="7"/>
  <c r="Y5" i="7"/>
  <c r="Z5" i="7"/>
  <c r="L4" i="2"/>
  <c r="L5" i="2"/>
  <c r="M5" i="2"/>
  <c r="N5" i="2"/>
  <c r="O5" i="2"/>
  <c r="P5" i="2"/>
  <c r="Q5" i="2"/>
  <c r="R5" i="2"/>
  <c r="S5" i="2"/>
  <c r="T5" i="2"/>
  <c r="U5" i="2"/>
  <c r="V5" i="2"/>
  <c r="W5" i="2"/>
  <c r="Y5" i="2"/>
  <c r="Z5" i="2"/>
  <c r="M4" i="2"/>
  <c r="N4" i="2"/>
  <c r="O4" i="2"/>
  <c r="P4" i="2"/>
  <c r="Q4" i="2"/>
  <c r="R4" i="2"/>
  <c r="S4" i="2"/>
  <c r="T4" i="2"/>
  <c r="U4" i="2"/>
  <c r="V4" i="2"/>
  <c r="W4" i="2"/>
  <c r="X4" i="2"/>
  <c r="Y4" i="2"/>
  <c r="Z4" i="2"/>
  <c r="K5" i="2"/>
  <c r="K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tc={7352F6D9-3361-4371-AD9C-D3E35325C403}</author>
    <author>tc={729598DF-B121-4AA5-BBDF-1740E2EFE989}</author>
    <author>tc={CEF5A7C3-1EFE-48EC-B2B8-152AFD53EB00}</author>
    <author>tc={D1F85753-E518-4F35-8295-CA0E7C877C52}</author>
    <author>tc={9A8D0CA6-A6EB-45C6-977F-27FD98DA33F6}</author>
    <author>Kim, Dogyun (SAM Project)</author>
    <author>tc={9852F93D-6BF9-4D73-8D7B-B06637DB4DD1}</author>
    <author>tc={8215309B-6DE0-4E48-B9D2-3BEECB2570A5}</author>
    <author>tc={BE13E560-7F20-465B-B384-0178CCF8E175}</author>
    <author>tc={719A2269-5992-4B2E-A4DE-0CC0B20B4F56}</author>
  </authors>
  <commentList>
    <comment ref="B7" authorId="0" shapeId="0" xr:uid="{7352F6D9-3361-4371-AD9C-D3E35325C403}">
      <text>
        <t>[Threaded comment]
Your version of Excel allows you to read this threaded comment; however, any edits to it will get removed if the file is opened in a newer version of Excel. Learn more: https://go.microsoft.com/fwlink/?linkid=870924
Comment:
    순서도</t>
      </text>
    </comment>
    <comment ref="D28" authorId="1" shapeId="0" xr:uid="{729598DF-B121-4AA5-BBDF-1740E2EFE989}">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30" authorId="2" shapeId="0" xr:uid="{CEF5A7C3-1EFE-48EC-B2B8-152AFD53EB00}">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32" authorId="3" shapeId="0" xr:uid="{D1F85753-E518-4F35-8295-CA0E7C877C52}">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34" authorId="4" shapeId="0" xr:uid="{9A8D0CA6-A6EB-45C6-977F-27FD98DA33F6}">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L38" authorId="5" shapeId="0" xr:uid="{D4306BBC-0548-4AD0-94E7-58ADB2439CBE}">
      <text>
        <r>
          <rPr>
            <sz val="11"/>
            <color theme="1"/>
            <rFont val="맑은 고딕"/>
            <family val="2"/>
            <scheme val="minor"/>
          </rPr>
          <t>Kim, Dogyun (SAM Project):
데이터 1건에 대한 결과</t>
        </r>
      </text>
    </comment>
    <comment ref="D42" authorId="6" shapeId="0" xr:uid="{9852F93D-6BF9-4D73-8D7B-B06637DB4DD1}">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43" authorId="7" shapeId="0" xr:uid="{8215309B-6DE0-4E48-B9D2-3BEECB2570A5}">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44" authorId="8" shapeId="0" xr:uid="{BE13E560-7F20-465B-B384-0178CCF8E175}">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45" authorId="9" shapeId="0" xr:uid="{719A2269-5992-4B2E-A4DE-0CC0B20B4F56}">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tc={73845F6D-42BD-4BC1-905E-7AF3BA8B0E9D}</author>
    <author>Kim, Dogyun (SAM Project)</author>
    <author>tc={8C8C7410-6454-4F3A-85E5-38E3E06359F9}</author>
    <author>tc={9C1C2A1D-82D6-4B2D-B278-81F6989BD70E}</author>
    <author>tc={99814B8E-7B80-487C-A404-91D3FB86BD29}</author>
    <author>tc={225457E2-B4BF-4D72-A232-DD39ECDDAE74}</author>
  </authors>
  <commentList>
    <comment ref="D27" authorId="0" shapeId="0" xr:uid="{73845F6D-42BD-4BC1-905E-7AF3BA8B0E9D}">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L31" authorId="1" shapeId="0" xr:uid="{6F6D91A8-D888-469E-BC0E-176D3E682223}">
      <text>
        <r>
          <rPr>
            <sz val="11"/>
            <color theme="1"/>
            <rFont val="맑은 고딕"/>
            <family val="2"/>
            <scheme val="minor"/>
          </rPr>
          <t>Kim, Dogyun (SAM Project):
데이터 1건에 대한 결과</t>
        </r>
      </text>
    </comment>
    <comment ref="D35" authorId="2" shapeId="0" xr:uid="{8C8C7410-6454-4F3A-85E5-38E3E06359F9}">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36" authorId="3" shapeId="0" xr:uid="{9C1C2A1D-82D6-4B2D-B278-81F6989BD70E}">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37" authorId="4" shapeId="0" xr:uid="{99814B8E-7B80-487C-A404-91D3FB86BD29}">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 ref="D38" authorId="5" shapeId="0" xr:uid="{225457E2-B4BF-4D72-A232-DD39ECDDAE74}">
      <text>
        <t>[Threaded comment]
Your version of Excel allows you to read this threaded comment; however, any edits to it will get removed if the file is opened in a newer version of Excel. Learn more: https://go.microsoft.com/fwlink/?linkid=870924
Comment:
    Biz팀에 받은 데이터는 3차까지 총 702건이며, TEST를 진행했던 건은 STT전사 고도화된 50건으로 진행했었음.</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tc={E0F6A487-F23D-464C-97EA-FC6B2DC48012}</author>
    <author>tc={12CC75EA-6495-410E-8838-F481A29380B7}</author>
    <author>tc={E49BB8FC-C85B-459E-8675-ECD60CD21341}</author>
    <author>Administrator</author>
    <author>Kim, Dogyun (SAM Project)</author>
    <author>tc={EDEF5945-77EA-4C04-AE14-517E691FE33A}</author>
    <author>tc={492D1566-C36B-49C7-AF89-CC814518F9DC}</author>
    <author>tc={7747E0D7-9793-4AF8-88C8-DFB514C1E77E}</author>
    <author>tc={C14EA8CD-E682-470C-AB38-4E8066D5CA0D}</author>
    <author>tc={2B735DDC-5A3F-4D1C-8197-FB1680E3F96F}</author>
    <author>tc={54D043BC-4486-43CD-9D24-382C748B09B0}</author>
    <author>tc={9543F6AD-54B2-460A-B0B3-B32244242A0F}</author>
    <author>tc={4726D5BB-42E5-4A5B-AA10-735AC395C171}</author>
    <author>tc={63E036A5-FE41-4CC5-B837-8B3739368BF2}</author>
  </authors>
  <commentList>
    <comment ref="H4" authorId="0" shapeId="0" xr:uid="{E0F6A487-F23D-464C-97EA-FC6B2DC48012}">
      <text>
        <t>[Threaded comment]
Your version of Excel allows you to read this threaded comment; however, any edits to it will get removed if the file is opened in a newer version of Excel. Learn more: https://go.microsoft.com/fwlink/?linkid=870924
Comment:
    업무매뉴얼</t>
      </text>
    </comment>
    <comment ref="H5" authorId="1" shapeId="0" xr:uid="{12CC75EA-6495-410E-8838-F481A29380B7}">
      <text>
        <t>[Threaded comment]
Your version of Excel allows you to read this threaded comment; however, any edits to it will get removed if the file is opened in a newer version of Excel. Learn more: https://go.microsoft.com/fwlink/?linkid=870924
Comment:
    업무매뉴얼</t>
      </text>
    </comment>
    <comment ref="H6" authorId="2" shapeId="0" xr:uid="{E49BB8FC-C85B-459E-8675-ECD60CD21341}">
      <text>
        <t>[Threaded comment]
Your version of Excel allows you to read this threaded comment; however, any edits to it will get removed if the file is opened in a newer version of Excel. Learn more: https://go.microsoft.com/fwlink/?linkid=870924
Comment:
    업무매뉴얼</t>
      </text>
    </comment>
    <comment ref="H8" authorId="3" shapeId="0" xr:uid="{C1644478-0288-4556-9FFF-4419809BCB51}">
      <text>
        <r>
          <rPr>
            <b/>
            <sz val="9"/>
            <color indexed="81"/>
            <rFont val="Tahoma"/>
            <family val="2"/>
          </rPr>
          <t xml:space="preserve">Administrator:
(1/26~1/30)
</t>
        </r>
        <r>
          <rPr>
            <b/>
            <sz val="9"/>
            <color indexed="81"/>
            <rFont val="돋움"/>
            <family val="3"/>
            <charset val="129"/>
          </rPr>
          <t>금주부터</t>
        </r>
        <r>
          <rPr>
            <b/>
            <sz val="9"/>
            <color indexed="81"/>
            <rFont val="Tahoma"/>
            <family val="2"/>
          </rPr>
          <t xml:space="preserve"> </t>
        </r>
        <r>
          <rPr>
            <b/>
            <sz val="9"/>
            <color indexed="81"/>
            <rFont val="돋움"/>
            <family val="3"/>
            <charset val="129"/>
          </rPr>
          <t>진행</t>
        </r>
        <r>
          <rPr>
            <sz val="9"/>
            <color indexed="81"/>
            <rFont val="Tahoma"/>
            <family val="2"/>
          </rPr>
          <t xml:space="preserve">
</t>
        </r>
      </text>
    </comment>
    <comment ref="I40" authorId="4" shapeId="0" xr:uid="{B1AFE8D2-7114-4BC7-9948-8386E148D1F7}">
      <text>
        <r>
          <rPr>
            <sz val="11"/>
            <color theme="1"/>
            <rFont val="맑은 고딕"/>
            <family val="2"/>
            <scheme val="minor"/>
          </rPr>
          <t>민원 데이터가 1건으로 수치를 신뢰하기 힘듬</t>
        </r>
      </text>
    </comment>
    <comment ref="I44" authorId="5" shapeId="0" xr:uid="{EDEF5945-77EA-4C04-AE14-517E691FE33A}">
      <text>
        <t>[Threaded comment]
Your version of Excel allows you to read this threaded comment; however, any edits to it will get removed if the file is opened in a newer version of Excel. Learn more: https://go.microsoft.com/fwlink/?linkid=870924
Comment:
    답변셋 일반분류가 대부분
Reply:
    LLM이 유형 이름을 예측(생성)하고 GT 유형과 exact matching 하여 accuracy 계산</t>
      </text>
    </comment>
    <comment ref="J44" authorId="6" shapeId="0" xr:uid="{492D1566-C36B-49C7-AF89-CC814518F9DC}">
      <text>
        <t>[Threaded comment]
Your version of Excel allows you to read this threaded comment; however, any edits to it will get removed if the file is opened in a newer version of Excel. Learn more: https://go.microsoft.com/fwlink/?linkid=870924
Comment:
    민원/개선 데이터 추가된 이후 개선작업 진행 할 예정</t>
      </text>
    </comment>
    <comment ref="I45" authorId="7" shapeId="0" xr:uid="{7747E0D7-9793-4AF8-88C8-DFB514C1E77E}">
      <text>
        <t>[Threaded comment]
Your version of Excel allows you to read this threaded comment; however, any edits to it will get removed if the file is opened in a newer version of Excel. Learn more: https://go.microsoft.com/fwlink/?linkid=870924
Comment:
    LLM이 유형 이름을 예측(생성)하고 GT 유형과 exact matching 하여 accuracy 계산</t>
      </text>
    </comment>
    <comment ref="J45" authorId="8" shapeId="0" xr:uid="{C14EA8CD-E682-470C-AB38-4E8066D5CA0D}">
      <text>
        <t>[Threaded comment]
Your version of Excel allows you to read this threaded comment; however, any edits to it will get removed if the file is opened in a newer version of Excel. Learn more: https://go.microsoft.com/fwlink/?linkid=870924
Comment:
    LLM이 유형 이름을 예측(생성)하고 GT 유형과 exact matching 하여 accuracy 계산</t>
      </text>
    </comment>
    <comment ref="I52" authorId="9" shapeId="0" xr:uid="{2B735DDC-5A3F-4D1C-8197-FB1680E3F96F}">
      <text>
        <t>[Threaded comment]
Your version of Excel allows you to read this threaded comment; however, any edits to it will get removed if the file is opened in a newer version of Excel. Learn more: https://go.microsoft.com/fwlink/?linkid=870924
Comment:
    민원 데이터 1건 밖에 없음</t>
      </text>
    </comment>
    <comment ref="J52" authorId="10" shapeId="0" xr:uid="{54D043BC-4486-43CD-9D24-382C748B09B0}">
      <text>
        <t>[Threaded comment]
Your version of Excel allows you to read this threaded comment; however, any edits to it will get removed if the file is opened in a newer version of Excel. Learn more: https://go.microsoft.com/fwlink/?linkid=870924
Comment:
    judge 프롬프트 변경으로 다시 테스트</t>
      </text>
    </comment>
    <comment ref="J56" authorId="11" shapeId="0" xr:uid="{9543F6AD-54B2-460A-B0B3-B32244242A0F}">
      <text>
        <t>[Threaded comment]
Your version of Excel allows you to read this threaded comment; however, any edits to it will get removed if the file is opened in a newer version of Excel. Learn more: https://go.microsoft.com/fwlink/?linkid=870924
Comment:
    민원/개선 데이터 추가된 이후 개선작업 진행 할 예정</t>
      </text>
    </comment>
    <comment ref="I57" authorId="12" shapeId="0" xr:uid="{4726D5BB-42E5-4A5B-AA10-735AC395C171}">
      <text>
        <t>[Threaded comment]
Your version of Excel allows you to read this threaded comment; however, any edits to it will get removed if the file is opened in a newer version of Excel. Learn more: https://go.microsoft.com/fwlink/?linkid=870924
Comment:
    LLM이 유형 이름을 예측(생성)하고 GT 유형과 exact matching 하여 accuracy 계산</t>
      </text>
    </comment>
    <comment ref="J57" authorId="13" shapeId="0" xr:uid="{63E036A5-FE41-4CC5-B837-8B3739368BF2}">
      <text>
        <t>[Threaded comment]
Your version of Excel allows you to read this threaded comment; however, any edits to it will get removed if the file is opened in a newer version of Excel. Learn more: https://go.microsoft.com/fwlink/?linkid=870924
Comment:
    LLM이 유형 이름을 예측(생성)하고 GT 유형과 exact matching 하여 accuracy 계산</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tc={85A1AB74-11AC-4726-8E8D-6DD588F76863}</author>
    <author>tc={BDA32C5E-A474-456D-A6F8-3765C0E81F20}</author>
    <author>tc={05AC2E5B-70A1-4828-A911-39D7DCFBC6BC}</author>
    <author>Administrator</author>
    <author>Cha, HyunKyung</author>
    <author>Kim, Dogyun (SAM Project)</author>
    <author>tc={5B159C9F-0C1D-46A2-ABED-528E9AFBAC62}</author>
    <author>tc={3D92D090-727A-49BD-A1DF-A37FFE4C17F1}</author>
    <author>tc={68218E40-01B1-4A24-922C-F3F7D7F8C673}</author>
    <author>tc={55A301BF-895D-4C1E-A61A-3F35F20B5EDE}</author>
  </authors>
  <commentList>
    <comment ref="H4" authorId="0" shapeId="0" xr:uid="{85A1AB74-11AC-4726-8E8D-6DD588F76863}">
      <text>
        <t>[Threaded comment]
Your version of Excel allows you to read this threaded comment; however, any edits to it will get removed if the file is opened in a newer version of Excel. Learn more: https://go.microsoft.com/fwlink/?linkid=870924
Comment:
    업무매뉴얼</t>
      </text>
    </comment>
    <comment ref="H5" authorId="1" shapeId="0" xr:uid="{BDA32C5E-A474-456D-A6F8-3765C0E81F20}">
      <text>
        <t>[Threaded comment]
Your version of Excel allows you to read this threaded comment; however, any edits to it will get removed if the file is opened in a newer version of Excel. Learn more: https://go.microsoft.com/fwlink/?linkid=870924
Comment:
    업무매뉴얼</t>
      </text>
    </comment>
    <comment ref="H6" authorId="2" shapeId="0" xr:uid="{05AC2E5B-70A1-4828-A911-39D7DCFBC6BC}">
      <text>
        <t>[Threaded comment]
Your version of Excel allows you to read this threaded comment; however, any edits to it will get removed if the file is opened in a newer version of Excel. Learn more: https://go.microsoft.com/fwlink/?linkid=870924
Comment:
    업무매뉴얼</t>
      </text>
    </comment>
    <comment ref="H8" authorId="3" shapeId="0" xr:uid="{71383DC1-8C84-4244-9B34-BA50D41E12B7}">
      <text>
        <r>
          <rPr>
            <b/>
            <sz val="9"/>
            <color indexed="81"/>
            <rFont val="Tahoma"/>
            <family val="2"/>
          </rPr>
          <t xml:space="preserve">Administrator:
(1/26~1/30)
</t>
        </r>
        <r>
          <rPr>
            <b/>
            <sz val="9"/>
            <color indexed="81"/>
            <rFont val="돋움"/>
            <family val="3"/>
            <charset val="129"/>
          </rPr>
          <t>금주부터</t>
        </r>
        <r>
          <rPr>
            <b/>
            <sz val="9"/>
            <color indexed="81"/>
            <rFont val="Tahoma"/>
            <family val="2"/>
          </rPr>
          <t xml:space="preserve"> </t>
        </r>
        <r>
          <rPr>
            <b/>
            <sz val="9"/>
            <color indexed="81"/>
            <rFont val="돋움"/>
            <family val="3"/>
            <charset val="129"/>
          </rPr>
          <t>진행</t>
        </r>
        <r>
          <rPr>
            <sz val="9"/>
            <color indexed="81"/>
            <rFont val="Tahoma"/>
            <family val="2"/>
          </rPr>
          <t xml:space="preserve">
</t>
        </r>
      </text>
    </comment>
    <comment ref="P26" authorId="4" shapeId="0" xr:uid="{49E161B1-5E32-4600-92E1-7D3BD2F8F042}">
      <text>
        <r>
          <rPr>
            <sz val="11"/>
            <color theme="1"/>
            <rFont val="맑은 고딕"/>
            <family val="2"/>
            <scheme val="minor"/>
          </rPr>
          <t>Cha, HyunKyung:
정답+소답=78.4%
정답+과답=87%</t>
        </r>
      </text>
    </comment>
    <comment ref="H43" authorId="5" shapeId="0" xr:uid="{DC9524F4-51E6-4DE5-956D-59A15A0F8BF3}">
      <text>
        <r>
          <rPr>
            <sz val="11"/>
            <color theme="1"/>
            <rFont val="맑은 고딕"/>
            <family val="2"/>
            <scheme val="minor"/>
          </rPr>
          <t>민원 데이터가 1건으로 수치를 신뢰하기 힘듬</t>
        </r>
      </text>
    </comment>
    <comment ref="H47" authorId="6" shapeId="0" xr:uid="{5B159C9F-0C1D-46A2-ABED-528E9AFBAC62}">
      <text>
        <t>[Threaded comment]
Your version of Excel allows you to read this threaded comment; however, any edits to it will get removed if the file is opened in a newer version of Excel. Learn more: https://go.microsoft.com/fwlink/?linkid=870924
Comment:
    답변셋 일반분류가 대부분
Reply:
    LLM이 유형 이름을 예측(생성)하고 GT 유형과 exact matching 하여 accuracy 계산</t>
      </text>
    </comment>
    <comment ref="H48" authorId="7" shapeId="0" xr:uid="{3D92D090-727A-49BD-A1DF-A37FFE4C17F1}">
      <text>
        <t>[Threaded comment]
Your version of Excel allows you to read this threaded comment; however, any edits to it will get removed if the file is opened in a newer version of Excel. Learn more: https://go.microsoft.com/fwlink/?linkid=870924
Comment:
    LLM이 유형 이름을 예측(생성)하고 GT 유형과 exact matching 하여 accuracy 계산</t>
      </text>
    </comment>
    <comment ref="H55" authorId="8" shapeId="0" xr:uid="{68218E40-01B1-4A24-922C-F3F7D7F8C673}">
      <text>
        <t>[Threaded comment]
Your version of Excel allows you to read this threaded comment; however, any edits to it will get removed if the file is opened in a newer version of Excel. Learn more: https://go.microsoft.com/fwlink/?linkid=870924
Comment:
    민원 데이터 1건 밖에 없음</t>
      </text>
    </comment>
    <comment ref="H60" authorId="9" shapeId="0" xr:uid="{55A301BF-895D-4C1E-A61A-3F35F20B5EDE}">
      <text>
        <t>[Threaded comment]
Your version of Excel allows you to read this threaded comment; however, any edits to it will get removed if the file is opened in a newer version of Excel. Learn more: https://go.microsoft.com/fwlink/?linkid=870924
Comment:
    LLM이 유형 이름을 예측(생성)하고 GT 유형과 exact matching 하여 accuracy 계산</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tc={9BFF1F5B-C8CD-4182-AA28-B7206346DBD6}</author>
  </authors>
  <commentList>
    <comment ref="B8" authorId="0" shapeId="0" xr:uid="{9BFF1F5B-C8CD-4182-AA28-B7206346DBD6}">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tc={4B247A54-FB8C-402F-8ECD-491B679B92B1}</author>
  </authors>
  <commentList>
    <comment ref="B8" authorId="0" shapeId="0" xr:uid="{4B247A54-FB8C-402F-8ECD-491B679B92B1}">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tc={B8373152-4B00-45CA-A09B-ABA7C039249E}</author>
  </authors>
  <commentList>
    <comment ref="B8" authorId="0" shapeId="0" xr:uid="{B8373152-4B00-45CA-A09B-ABA7C039249E}">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tc={BA90F69C-2FB7-45B7-97D1-EB9F14CCFC33}</author>
  </authors>
  <commentList>
    <comment ref="B8" authorId="0" shapeId="0" xr:uid="{BA90F69C-2FB7-45B7-97D1-EB9F14CCFC33}">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tc={06522975-35B3-465F-A3E5-024C077F3ADD}</author>
  </authors>
  <commentList>
    <comment ref="B8" authorId="0" shapeId="0" xr:uid="{06522975-35B3-465F-A3E5-024C077F3ADD}">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tc={0EC3A395-A513-4DC4-90D2-A60563AF0F3E}</author>
  </authors>
  <commentList>
    <comment ref="B8" authorId="0" shapeId="0" xr:uid="{0EC3A395-A513-4DC4-90D2-A60563AF0F3E}">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tc={7616D3CD-1AA4-46B6-98AE-90253C7C9EFE}</author>
  </authors>
  <commentList>
    <comment ref="B8" authorId="0" shapeId="0" xr:uid="{7616D3CD-1AA4-46B6-98AE-90253C7C9EFE}">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tc={9921BDC6-9A25-4B0A-9FD0-EA8DC50653C4}</author>
  </authors>
  <commentList>
    <comment ref="B8" authorId="0" shapeId="0" xr:uid="{9921BDC6-9A25-4B0A-9FD0-EA8DC50653C4}">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tc={FC055CE0-ED30-4053-9935-AE7759F9D746}</author>
  </authors>
  <commentList>
    <comment ref="B4" authorId="0" shapeId="0" xr:uid="{FC055CE0-ED30-4053-9935-AE7759F9D746}">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tc={31B70E2E-2FFD-42E9-81B1-3A5DC9623C69}</author>
  </authors>
  <commentList>
    <comment ref="B4" authorId="0" shapeId="0" xr:uid="{31B70E2E-2FFD-42E9-81B1-3A5DC9623C69}">
      <text>
        <t>[Threaded comment]
Your version of Excel allows you to read this threaded comment; however, any edits to it will get removed if the file is opened in a newer version of Excel. Learn more: https://go.microsoft.com/fwlink/?linkid=870924
Comment:
    순서도</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<sst xmlns="http://schemas.openxmlformats.org/spreadsheetml/2006/main" count="1838" uniqueCount="416">
  <si>
    <t>스프린트#3 Target 70%</t>
  </si>
  <si>
    <t>스프린트#4 Target 80%</t>
  </si>
  <si>
    <t>스프린트#5 Target 90%</t>
  </si>
  <si>
    <t>구분</t>
  </si>
  <si>
    <t>항목</t>
  </si>
  <si>
    <t>세부항목</t>
  </si>
  <si>
    <t>답변셋</t>
  </si>
  <si>
    <t>평가방법</t>
  </si>
  <si>
    <t>담당자</t>
  </si>
  <si>
    <t>결과상세</t>
  </si>
  <si>
    <t>Goal</t>
  </si>
  <si>
    <t>답변 정확도(전체)</t>
    <phoneticPr fontId="2" type="noConversion"/>
  </si>
  <si>
    <t>Actual</t>
    <phoneticPr fontId="2" type="noConversion"/>
  </si>
  <si>
    <t>요약 정확도(전체)</t>
    <phoneticPr fontId="2" type="noConversion"/>
  </si>
  <si>
    <t>답변</t>
  </si>
  <si>
    <t>업무 매뉴얼</t>
  </si>
  <si>
    <t>도메인(Top3)</t>
  </si>
  <si>
    <t>답변셋_업무매뉴얼</t>
  </si>
  <si>
    <t>RAGAS 평가도구 포함</t>
  </si>
  <si>
    <t>결과서</t>
  </si>
  <si>
    <t>RAG(검색)</t>
  </si>
  <si>
    <t>RAGAS</t>
  </si>
  <si>
    <t>LLM</t>
  </si>
  <si>
    <t xml:space="preserve">PC 매뉴얼 </t>
  </si>
  <si>
    <t>답변셋_PC매뉴얼</t>
  </si>
  <si>
    <t>상담스크립트</t>
  </si>
  <si>
    <t>답변셋_상담스크립트</t>
  </si>
  <si>
    <t xml:space="preserve">상품매뉴얼 </t>
  </si>
  <si>
    <t>답변셋_상품매뉴얼</t>
  </si>
  <si>
    <t xml:space="preserve">사업방법서 </t>
  </si>
  <si>
    <t>답변셋_사업방법서</t>
  </si>
  <si>
    <t>약관</t>
  </si>
  <si>
    <t>답변셋_약관</t>
  </si>
  <si>
    <t xml:space="preserve">멀티턴 답변 </t>
  </si>
  <si>
    <t>현업 데이터 작성중</t>
  </si>
  <si>
    <t>정성평가</t>
  </si>
  <si>
    <t>예측질의 답변</t>
  </si>
  <si>
    <t>평가 미포함</t>
  </si>
  <si>
    <t xml:space="preserve">유도질의 답변 </t>
  </si>
  <si>
    <t>요약</t>
  </si>
  <si>
    <t xml:space="preserve">이전상담 요약 </t>
  </si>
  <si>
    <t>직전상담 요약</t>
  </si>
  <si>
    <t>문자/알림톡 요약</t>
  </si>
  <si>
    <t>이메일 내용 요약</t>
  </si>
  <si>
    <t>현재 상담 결과 요약</t>
  </si>
  <si>
    <t>고객 발화 요약</t>
  </si>
  <si>
    <t>상담사</t>
  </si>
  <si>
    <t>후처리요약_공통</t>
  </si>
  <si>
    <t>고객</t>
  </si>
  <si>
    <t>상담사 발화 요약</t>
  </si>
  <si>
    <t>상담내용 요약</t>
  </si>
  <si>
    <t xml:space="preserve">일반 상담 요약 </t>
  </si>
  <si>
    <t>상담제목</t>
  </si>
  <si>
    <t>곽수진</t>
  </si>
  <si>
    <t>전체</t>
  </si>
  <si>
    <t>민원 상담 요약</t>
  </si>
  <si>
    <t>민원내용</t>
  </si>
  <si>
    <t>데이터 요청중</t>
  </si>
  <si>
    <t>김도균</t>
  </si>
  <si>
    <t>요구사항</t>
  </si>
  <si>
    <t>개선 상담 요약</t>
  </si>
  <si>
    <t>불편사항</t>
  </si>
  <si>
    <t>권희애</t>
  </si>
  <si>
    <t>개선요청사항</t>
  </si>
  <si>
    <t xml:space="preserve">상담 유형 분류 </t>
  </si>
  <si>
    <t>일반/민원/개선</t>
  </si>
  <si>
    <t>대</t>
  </si>
  <si>
    <t>김설화</t>
  </si>
  <si>
    <t>중</t>
  </si>
  <si>
    <t>소</t>
  </si>
  <si>
    <t>~70%</t>
  </si>
  <si>
    <t>~80%</t>
  </si>
  <si>
    <t>~90%</t>
  </si>
  <si>
    <t>HK : Search안된 건 제외하고 74%의미가 없음</t>
  </si>
  <si>
    <t>이 엑셀리포트에 통합 해 주세요. (내부.외부_기준일자 다르면 기재)</t>
  </si>
  <si>
    <t>차주 월요일까지 리포트 Form수정하여 업데이트하여 알려 주시고, RAGAS 평가 신뢰도 검증 자료 차주 수까지는 정리하여 주세요.</t>
  </si>
  <si>
    <t> </t>
  </si>
  <si>
    <t>보고 항목 관련</t>
  </si>
  <si>
    <t> 타겟 및 Actual 기재 (아래 수치는 기본)</t>
  </si>
  <si>
    <t>  답변, 요약 정확도 전체 수치</t>
  </si>
  <si>
    <t>   - 답변 - 도메인/검색RAG/LLM의 정확도   (상세는 매뉴얼마다 다른 경우 기재)</t>
  </si>
  <si>
    <t>   - 요약 - 고객/상담사/전체 답변 정확도   </t>
  </si>
  <si>
    <t>    2. 개선진행상황 기재</t>
  </si>
  <si>
    <t>   1.  상기 항목별 수치 변화에 대한 금주 개선 활동과 담주 개선 계획 기재</t>
  </si>
  <si>
    <t>     예) 도메인 88%에서 95%로 증가 : 금주개선활동은 도메인 1개에서 3개로 찾는 프롬프트 적용, 차주는 과대답변 포함하여 95%맞추는 ~~</t>
  </si>
  <si>
    <t>    2. 프로세스나 리스크 고려/검토해야 할 사항 (수치를 향상시켜도 )</t>
  </si>
  <si>
    <t>      예) 도메인 95%로 맞춰도 5%를 못찾는 도메인은 어떻게 해야 할지 검토 필요 :: aicsr 과 검토 예정 등_슬롯질문 등을 질문을 다시 유도 등</t>
  </si>
  <si>
    <t>RAGAS 평가의 신뢰도 :  현업 질답셋과 비교 작업 차주 초까지 진행 _답변, 도메인, 검색 항목 비교함</t>
  </si>
  <si>
    <t xml:space="preserve">HK : Serch 안된 건 포함 37%임. </t>
  </si>
  <si>
    <t>Goal: 95.00%</t>
  </si>
  <si>
    <t>Summary - 답변</t>
  </si>
  <si>
    <t>LLM Judge</t>
  </si>
  <si>
    <t>Human(현업)</t>
  </si>
  <si>
    <t>Summary - 요약</t>
  </si>
  <si>
    <t>답변 상세</t>
  </si>
  <si>
    <t>요약 상세</t>
  </si>
  <si>
    <t>Summary</t>
  </si>
  <si>
    <t>평가방식</t>
  </si>
  <si>
    <t>설명</t>
    <phoneticPr fontId="2" type="noConversion"/>
  </si>
  <si>
    <t>2026-02-09
(02-06 반영)</t>
  </si>
  <si>
    <t>LLM 평가툴(방법론) 적용</t>
  </si>
  <si>
    <t>LLM을 통한 정답지 비교 결과</t>
  </si>
  <si>
    <t>현업 전수검사</t>
  </si>
  <si>
    <t>LLM을 통한 정답지 비교 결과</t>
    <phoneticPr fontId="2" type="noConversion"/>
  </si>
  <si>
    <t>현업 전수검사</t>
    <phoneticPr fontId="2" type="noConversion"/>
  </si>
  <si>
    <t>개인화</t>
  </si>
  <si>
    <t>기능</t>
  </si>
  <si>
    <t>대상</t>
    <phoneticPr fontId="2" type="noConversion"/>
  </si>
  <si>
    <t>2026-01-12</t>
    <phoneticPr fontId="2" type="noConversion"/>
  </si>
  <si>
    <t>2026-01-19</t>
    <phoneticPr fontId="2" type="noConversion"/>
  </si>
  <si>
    <t>2026-01-26</t>
    <phoneticPr fontId="2" type="noConversion"/>
  </si>
  <si>
    <t>2026-02-02</t>
    <phoneticPr fontId="2" type="noConversion"/>
  </si>
  <si>
    <t>2026-02-09</t>
    <phoneticPr fontId="2" type="noConversion"/>
  </si>
  <si>
    <t>2026-02-16</t>
    <phoneticPr fontId="2" type="noConversion"/>
  </si>
  <si>
    <t>2026-02-23</t>
    <phoneticPr fontId="2" type="noConversion"/>
  </si>
  <si>
    <t>2026-03-02</t>
    <phoneticPr fontId="2" type="noConversion"/>
  </si>
  <si>
    <t>2026-03-09</t>
    <phoneticPr fontId="2" type="noConversion"/>
  </si>
  <si>
    <t>2026-03-16</t>
    <phoneticPr fontId="2" type="noConversion"/>
  </si>
  <si>
    <t>답변 상세</t>
    <phoneticPr fontId="2" type="noConversion"/>
  </si>
  <si>
    <t>도메인 분류 (27개 중 22개 분류)</t>
    <phoneticPr fontId="2" type="noConversion"/>
  </si>
  <si>
    <t>업무메뉴얼</t>
  </si>
  <si>
    <t>질의답변</t>
    <phoneticPr fontId="2" type="noConversion"/>
  </si>
  <si>
    <t>(외부 장비 이슈)</t>
  </si>
  <si>
    <t>PC메뉴얼</t>
    <phoneticPr fontId="2" type="noConversion"/>
  </si>
  <si>
    <t>(데이터 보강 요청)</t>
    <phoneticPr fontId="2" type="noConversion"/>
  </si>
  <si>
    <t>(데이터 재적재 중)</t>
  </si>
  <si>
    <t>(차주부터 진행)</t>
    <phoneticPr fontId="2" type="noConversion"/>
  </si>
  <si>
    <t>LLM Judge</t>
    <phoneticPr fontId="2" type="noConversion"/>
  </si>
  <si>
    <t>도메인 분류</t>
    <phoneticPr fontId="2" type="noConversion"/>
  </si>
  <si>
    <t>-</t>
  </si>
  <si>
    <t>Human(현업)</t>
    <phoneticPr fontId="2" type="noConversion"/>
  </si>
  <si>
    <t>세부평가 방법</t>
  </si>
  <si>
    <t>일반 상담 요약</t>
  </si>
  <si>
    <t>Answer Semantic Similarity 값</t>
  </si>
  <si>
    <t>모델의 요약(A)과 고객의 요약(B) 유사도 비교</t>
  </si>
  <si>
    <t>Faithfulness + Context Recall 평균값</t>
  </si>
  <si>
    <t>Faithfulness : 모델의 요약(A)의 각 단위 내용이 고객의 요약(B)에서 답변 할 수 있는지? -&gt; 고객 요약에 없는 내용이 있는지? -&gt; 과답인지!</t>
  </si>
  <si>
    <t>상동</t>
  </si>
  <si>
    <t>Context Recall : 고객의 요약(A)의 각 단위 내용이 모델의 요약(B)에서 답변할 수 있는지? -&gt; 모델 요약에 내용이 모두 있는지? &gt; 누락인지!</t>
  </si>
  <si>
    <t>(평가기준 확인필요)</t>
  </si>
  <si>
    <t>상담 유형 분류</t>
  </si>
  <si>
    <t>도메인분류 평가와 동일하게 Python 모듈로 평가</t>
  </si>
  <si>
    <t>답변정확도 LLM Judge 방법을 요약의 내용으로 변경해서 '정답/오답/과답/누락'으로 평가</t>
  </si>
  <si>
    <t>1) 정확도 평가 환경 기준</t>
  </si>
  <si>
    <t>답변생성: 검증셋 704건은 스프린트 5까지 동일 기준 유지</t>
  </si>
  <si>
    <t>상담요약: 검증셋 659건에 대해 휴먼 평가 필요</t>
  </si>
  <si>
    <t>민원 처리 건은 별도 검증 방식 필요하며, 키워드 기반 검증 가능 여부를 포함해 협의 예정</t>
  </si>
  <si>
    <t>상담요약 검증 방식 및 세부 일정은 별도 공유 예정</t>
  </si>
  <si>
    <t>2) 정확도 평가 방식</t>
  </si>
  <si>
    <t>RAGAS / LLM Judge / Human 평가의 3가지 방식 유지</t>
  </si>
  <si>
    <t>LLM Judge는 향후 고객사 활용 가능하도록 제공 예정</t>
  </si>
  <si>
    <t>3) 개선 검증 방향 계획</t>
  </si>
  <si>
    <r>
      <t xml:space="preserve">스프린트 3: ~2/6(월), 프롬프트 개선 중심 </t>
    </r>
    <r>
      <rPr>
        <sz val="10"/>
        <color theme="1"/>
        <rFont val="Wingdings"/>
        <charset val="2"/>
      </rPr>
      <t>à</t>
    </r>
    <r>
      <rPr>
        <sz val="10"/>
        <color theme="1"/>
        <rFont val="맑은 고딕"/>
        <family val="3"/>
        <charset val="129"/>
      </rPr>
      <t xml:space="preserve"> 70%</t>
    </r>
  </si>
  <si>
    <r>
      <t xml:space="preserve">스프린트 4: 2/9(월)~2/25(수), 프롬프트 최적화 및 데이터/청크/STT 원본 확인 </t>
    </r>
    <r>
      <rPr>
        <sz val="10"/>
        <color theme="1"/>
        <rFont val="Wingdings"/>
        <charset val="2"/>
      </rPr>
      <t>à</t>
    </r>
    <r>
      <rPr>
        <sz val="10"/>
        <color theme="1"/>
        <rFont val="맑은 고딕"/>
        <family val="3"/>
        <charset val="129"/>
      </rPr>
      <t xml:space="preserve"> 80%</t>
    </r>
  </si>
  <si>
    <r>
      <t xml:space="preserve">스프린트 5: 2/26(목)~3/10(화): UX Writing, 검색 정확도 개선, Reranking, Query Rewriting, 오답 활용 등 고도화 </t>
    </r>
    <r>
      <rPr>
        <sz val="10"/>
        <color theme="1"/>
        <rFont val="Wingdings"/>
        <charset val="2"/>
      </rPr>
      <t>à</t>
    </r>
    <r>
      <rPr>
        <sz val="10"/>
        <color theme="1"/>
        <rFont val="맑은 고딕"/>
        <family val="3"/>
        <charset val="129"/>
      </rPr>
      <t xml:space="preserve"> 90%</t>
    </r>
  </si>
  <si>
    <t>4) 테스트 및 평가 운영</t>
  </si>
  <si>
    <t>동일 기준의 오답노트 작성 및 오답 분류 체계 기반 반복 검증 수행</t>
  </si>
  <si>
    <t>매주 수요일 진행 현황 공유</t>
  </si>
  <si>
    <r>
      <t xml:space="preserve">매주 금요일 결과 공유 </t>
    </r>
    <r>
      <rPr>
        <sz val="10"/>
        <color theme="1"/>
        <rFont val="Wingdings"/>
        <charset val="2"/>
      </rPr>
      <t>à</t>
    </r>
    <r>
      <rPr>
        <sz val="10"/>
        <color theme="1"/>
        <rFont val="맑은 고딕"/>
        <family val="3"/>
        <charset val="129"/>
      </rPr>
      <t xml:space="preserve"> 공유한 그 다음주 월요일부터 휴먼 검증 진행</t>
    </r>
  </si>
  <si>
    <t>5) 향후 일정 및 타겟일 논의</t>
  </si>
  <si>
    <t>스프린트 4 개선 과정에 대한 중간 결과를 2/6(금)까지 정리 예정</t>
  </si>
  <si>
    <t>2/9(월)에 고객사 검증 요청 예정</t>
  </si>
  <si>
    <t>2월 둘째 주, 2/10(화)~2/11(수)에는 개선 성과, 방향 및 최종 KPI에 대한 수행사 의견 공유</t>
  </si>
  <si>
    <t>해당 시점 이후 오픈 타겟 일정에 대한 논의 진행</t>
  </si>
  <si>
    <t>01.19
~01.23</t>
    <phoneticPr fontId="2" type="noConversion"/>
  </si>
  <si>
    <t>01.26
~01-30</t>
    <phoneticPr fontId="2" type="noConversion"/>
  </si>
  <si>
    <t>02.02
~02.06</t>
    <phoneticPr fontId="2" type="noConversion"/>
  </si>
  <si>
    <t>02.09
~02.13</t>
  </si>
  <si>
    <t>02.16
~02.20</t>
  </si>
  <si>
    <t>02.23
~02.27</t>
  </si>
  <si>
    <t>03.02
~03.06</t>
  </si>
  <si>
    <t>03.09
~03.13</t>
  </si>
  <si>
    <t>03.16
~03.20</t>
  </si>
  <si>
    <t>03.23
~03.27</t>
  </si>
  <si>
    <t>Chunk 매칭 (검색)</t>
  </si>
  <si>
    <t>업무매뉴얼</t>
  </si>
  <si>
    <t>88.2% (정답청크 621</t>
  </si>
  <si>
    <t>정답인정가능 청크 25</t>
  </si>
  <si>
    <t>3/18기준 정답청크 646</t>
  </si>
  <si>
    <t>사업방법서</t>
  </si>
  <si>
    <t>3/23기준 정답청크 605</t>
  </si>
  <si>
    <t>질의답변</t>
  </si>
  <si>
    <t>상품매뉴얼</t>
  </si>
  <si>
    <t>검수시스템</t>
  </si>
  <si>
    <r>
      <rPr>
        <sz val="9"/>
        <color rgb="FF000000"/>
        <rFont val="맑은 고딕"/>
        <family val="3"/>
        <charset val="129"/>
      </rPr>
      <t>민원, 개선 건에 대한 추가 데이터 요청 (22건, 65건)</t>
    </r>
    <r>
      <rPr>
        <sz val="9"/>
        <color rgb="FFFF0000"/>
        <rFont val="맑은 고딕"/>
        <family val="3"/>
        <charset val="129"/>
      </rPr>
      <t xml:space="preserve"> - 59건 데이터 공유 및 키워드 분류 완료 (3/20)</t>
    </r>
  </si>
  <si>
    <t>오답분석</t>
  </si>
  <si>
    <t>답변정확도 LLM Judge 방법을 요약의 내용으로 변경해서 '정답/오답/과답'으로 평가</t>
  </si>
  <si>
    <t xml:space="preserve">키워드 데이터를 넣고, 보수적으로 본 결과값은 </t>
  </si>
  <si>
    <t>측정 기준 : 정답지에서 추출한 키워드로 평가</t>
  </si>
  <si>
    <t>169건 검수 대상으로 진행시</t>
  </si>
  <si>
    <t>개선점 분석 보고서(대분류)</t>
  </si>
  <si>
    <t>오류 유형 분류 수행함</t>
  </si>
  <si>
    <t>현업 미팅 요청 예정 - 3/24 , 미팅 전 수행사에서 도메인 오분류에 대한 1차 분석 후 진행 예정</t>
  </si>
  <si>
    <t>개선점 분석 보고서(소분류)</t>
  </si>
  <si>
    <r>
      <rPr>
        <sz val="10"/>
        <color rgb="FF000000"/>
        <rFont val="맑은 고딕"/>
        <family val="3"/>
        <charset val="129"/>
      </rPr>
      <t xml:space="preserve">스프린트 4: 2/9(월)~2/25(수), 프롬프트 최적화 및 데이터/청크/STT 원본 확인 </t>
    </r>
    <r>
      <rPr>
        <sz val="10"/>
        <color rgb="FF000000"/>
        <rFont val="Wingdings"/>
        <charset val="2"/>
      </rPr>
      <t>à</t>
    </r>
    <r>
      <rPr>
        <sz val="10"/>
        <color rgb="FF000000"/>
        <rFont val="맑은 고딕"/>
        <family val="3"/>
        <charset val="129"/>
      </rPr>
      <t xml:space="preserve"> 80%</t>
    </r>
  </si>
  <si>
    <r>
      <rPr>
        <sz val="10"/>
        <color rgb="FF000000"/>
        <rFont val="맑은 고딕"/>
        <family val="3"/>
        <charset val="129"/>
      </rPr>
      <t xml:space="preserve">스프린트 5: 2/26(목)~3/20(금): UX Writing, 검색 정확도 개선, Reranking, Query Rewriting, 오답 활용 등 고도화 </t>
    </r>
    <r>
      <rPr>
        <sz val="10"/>
        <color rgb="FF000000"/>
        <rFont val="Wingdings"/>
        <charset val="2"/>
      </rPr>
      <t>à</t>
    </r>
    <r>
      <rPr>
        <sz val="10"/>
        <color rgb="FF000000"/>
        <rFont val="맑은 고딕"/>
        <family val="3"/>
        <charset val="129"/>
      </rPr>
      <t xml:space="preserve"> 90%</t>
    </r>
  </si>
  <si>
    <t>작업 장소</t>
  </si>
  <si>
    <t>작업 프로세스 및 방법</t>
  </si>
  <si>
    <t>비고</t>
  </si>
  <si>
    <t>외부(본사)</t>
  </si>
  <si>
    <t>1. 외부(수행사 본사)에서 데이터, RAG(검색), LLM(프롬프트 등), Workflow 등 영역별 미세조정
2. 답변셋 샘플링을 통한 미세조정 기능 및 평가 테스트
3. 답변셋 전체를 통한 전수 평가 테스트 (RAGAS/LLM Judge)
4. 지표가 향상된 답변관련 리소스 반입 후 내부 반영</t>
  </si>
  <si>
    <t>내부(AIA)</t>
  </si>
  <si>
    <t>1. 일반/민원/개선 등 Task별로 담당자 지정
2. 원본 데이터 정비 및 Task별 프롬프트 개선, 평가 테스트
3. 답변셋 전체를 통한 전수 평가 테스트 (RAGAS/LLM Judge)</t>
  </si>
  <si>
    <t>[요약 프롬프트 개선 절차]
1. 문제 정의
2. 기준 명문화 (반드시 포함해야 할 것, 반드시 제외해야 할 것)
3. 프로세스 (사고 절차, 정제-&gt;핵심목적-&gt;판단-&gt;출력) 분리
4. 오분류 샘플 수집 (분석결과 반영)
5. Trigger / Override 추가
6. Few-shot 보강
7. 자동 평가 (LLM Judge)
8. 반복</t>
  </si>
  <si>
    <t>금주 개선 활동</t>
  </si>
  <si>
    <t>완료일</t>
  </si>
  <si>
    <t>차주 계획</t>
  </si>
  <si>
    <t>예상 목표일</t>
  </si>
  <si>
    <t>현업 요청 및 확인 사항</t>
  </si>
  <si>
    <t>공통</t>
  </si>
  <si>
    <t>TopK, 검색방식, 답변 프롬프트 등
공통 적용 항목</t>
  </si>
  <si>
    <t>1. ORPO/Hinge 알고리즘 실험 착수
2. 최적 알고리즘 선정 후 타 카테고리 확장 적용 검토
3. RAG 검색 개선 착수
   - Hybrid Search + Reranker + 청크 최적화
   - Query Expansion 테스트
   - Context Refinement: LLM 스코어링 → 상위 1~3개 필터 테스트</t>
  </si>
  <si>
    <t>03월 27일</t>
  </si>
  <si>
    <t>04월 03일</t>
  </si>
  <si>
    <t>1. ORPO/Hinge 알고리즘 학습 + 전수테스트
2. 최적 모델 확정 후 타 카테고리 확장 적용 여부 결정
3. Context Refinement + 튜닝 시너지 검증
  - CR 파이프라인이 상위 청크만 필터 
    → 튜닝 모델이 정제된 컨텍스트에서 정확 답변 생성</t>
  </si>
  <si>
    <t>27개 도메인 분류 중 22개 분류만 데이터 적재 시 메타로 사용되어서 5개는 현재 제외해서 검색을 해야함</t>
  </si>
  <si>
    <t>1. PC 카테고리 SFT 포함 평가
2. 미매칭 케이스(22.5%) 원인 분류로 검색 품질 개선 방향 도출
  - 문서 미검색 vs 매칭 오류 구분으로 검수 테스트</t>
  </si>
  <si>
    <t>　</t>
  </si>
  <si>
    <t>1. CS 골든셋 청크ID 매핑 완료 (3건)
2. 문서 매칭 성공 케이스 중 실제 답변 정확도 별도 분석</t>
  </si>
  <si>
    <t>1. 실패 케이스 유형 분류
  - 검색 실패 (문서를 못 찾는 경우) 
  - 답변 생성 오류 (문서는 찾았으나 답변이 틀린 경우)
2. 답변 생성 프롬프트 개선 검토
3. 튜닝 전후 비교 테스트
  - 보험 약관 기반 정확 답변 생성 능력 강화
  - 실패 유형 분류로 정밀 대응: 검색 실패(인덱스/청크 문제)와 답변 생성 오류(LLM 능력 문제) 구분하여 각각 최적 해결</t>
  </si>
  <si>
    <t>1. 답변 생성 프롬프트 개선
2. 튜닝 전후 비교 테스트
  - 법률 용어/약관 구조 직접 학습 실험
  - 문서 찾았으나 오답인 케이스 집중 분석
  - 검색은 성공하나 LLM 전환 실패 → 모델 튜닝 직접 효과 영역</t>
  </si>
  <si>
    <t>API 입력값에 약관 Id가 같이 들어올 수 있도록 AI CSR과 논의 요청</t>
  </si>
  <si>
    <t>1. 멀티턴 테스트 실행
- 대화 맥락 유지 능력 확보: 모델 튜닝 시 멀티턴 대화 데이터 포함 가능</t>
  </si>
  <si>
    <t>예측질의 학습 질답 세트 제공 요청</t>
  </si>
  <si>
    <t>유도질의 학습 질답 세트 제공 요청</t>
  </si>
  <si>
    <t xml:space="preserve">1. 데이터셋 재가공
 - STT 가명화
 - 키워드 재검수
2. UAT 요약셋
 - 평가용 프로그램 개발
3. 프롬프트 개선
 - UAT 현업 피드백 반영
 - 기존 평가 및 오류유형분석 데이터 분석결과 일괄 반영  </t>
  </si>
  <si>
    <t xml:space="preserve">1. 데이터셋 재가공
 - 데이터 건수 확정 (품질개선 툴 - 전체상담내용요약 - 1단계 결과기반)
2. 메타데이터 관련
 - 메타데이터 A/B 테스트 (효과 검증)
 - (효과 검증 시) 워크플로우 개발 및 메타데이터 준비
3. UAT 요약셋
 - 현업 피드백을 프롬프트에 반영
4. 프롬프트 개선
 - UAT 현업 피드백 반영
 - 기존 평가 및 오류유형분석 데이터 분석결과 반영  </t>
  </si>
  <si>
    <t>상담 제목</t>
  </si>
  <si>
    <t>1. 오류유형분석
 - 기존 프롬프트에 대한 평가 결과(LLM Judge - reason) 기반 오류유형분석
2. 프롬프트 개선
 - 외부 품질개선 툴 활용(3단계): 기존 프롬프트 디벨롭, 새로운 프롬프트 개발 병행
3. LLM Judge 평가 실시</t>
  </si>
  <si>
    <t>1. 오류유형분석
 - 기존 프롬프트에 대한 평가 결과(LLM Judge - reason) 기반 오류유형분석
2. 프롬프트 개선
 - 외부 품질개선 툴 활용(3단계): 기존 프롬프트 디벨롭
3. LLM Judge 평가 실시</t>
  </si>
  <si>
    <t>[전체상담]
1. 프롬프트 개선
 - 외부 품질개선 툴 활용(3단계): 기존 프롬프트 디벨롭, 새로운 프롬프트 개발 병행
2. LLM Judge 평가 실시
[고객발화]
1. 오류유형분석
 - 외부 품질개선 툴 활용(2단계): 오류 케이스 분석
2. 프롬프트 개선
 - 외부 품질개선 툴 활용(3단계): 기존 프롬프트 디벨롭, 새로운 프롬프트 개발 병행
3. LLM Judge 평가 실시
[상담사발화]
1. 오류유형분석
 - 기존 프롬프트에 대한 평가 결과(LLM Judge - reason) 기반 오류유형분석
2. 프롬프트 개선
 - 외부 품질개선 툴 활용(3단계): 기존 프롬프트 디벨롭, 새로운 프롬프트 개발 병행
3. LLM Judge 평가 실시</t>
  </si>
  <si>
    <t>[전체,고객,상담사]
1. 프롬프트 개선
 - 외부 품질개선 툴 활용(3단계): 기존 프롬프트 디벨롭, 새로운 프롬프트 개발 병행
2. LLM Judge 평가 실시</t>
  </si>
  <si>
    <t>1. 오류유형분석
 - 외부 품질개선 툴 활용(2단계): 오류 케이스 분석
2. 프롬프트 개선
 - 외부 품질개선 툴 활용(3단계): 기존 프롬프트 디벨롭, 새로운 프롬프트 개발 병행
3. LLM Judge 평가 실시</t>
  </si>
  <si>
    <t xml:space="preserve">상담 후처리 타입 분류 </t>
  </si>
  <si>
    <t>[대분류]
 - false 데이터 분석 및 고도화
 - 100건 데이터 기반 테스트 완료
[중분류]
 - false 데이터 분석 및 고도화
 - 100건 데이터 기반 테스트 완료
[소분류]
 - false 데이터 분석 및 고도화
 - 100건 데이터 기반 테스트 완료
[UXW]
 - 요구사항 정리 완료
 - 프롬프트 마무리 작업</t>
  </si>
  <si>
    <t>- 대/중/소 프롬프트 고도화
- UXW 프롬프트 고도화</t>
  </si>
  <si>
    <t>일반/민원/개선 분류</t>
  </si>
  <si>
    <t xml:space="preserve">1. SFT 최적 모델 확정 (LlamaFactory)
  - LlamaFactory 기반 SFT 최적 모델 확정: SFT v10 (71.7%), SFT v12 (74.4%)
  - 짧은 정답(50자 미만) 제거로 소답 유발 패턴 차단 적용 완료
  - Unsloth는 MoE 구조 호환 이슈로 LlamaFactory 단일 프레임워크 확정
2. KTO/DPO(선호도 학습) 학습 실험
  - DPO 3회 + KTO 3회 실험 완료
  - 정답-오답 쌍 데이터 활용, 기본모델 대비 추가 개선 미관찰 → 알고리즘 특성 파악 완료
3. SimPO 실험
  - SimPO 10회 실험 수행
  - 최적 설정에서 76.3% — 기본모델(71.0%) 대비 +5.3%p
  - 94쌍 데이터 + ga=4 + gamma=1.0 + epoch=1 조합이 최적 지점임을 확인
  - 추가 IPO 5회 실험 수행, IPO 최적 설정 73.7% 
    — SimPO와 상호 보완되는 고유 교정 22건 확보
4. 카테고리 전수 평가
  - 모든 실험에 대해 교정/회귀 매트릭스 + Grade 변화 분석
5. 튜닝 전후 비교 테스트
  - LLM 전환율: 71.0% → 76.3% (+5.3%p, 목표 85%+ 대비 진행 중)
  - 오답률: 20.9% → 20.2% (목표 15% 이하 대비 진행 중)
  - 소답률: 6.0% → 3.6% (목표 1.5% 대비 개선 중)
  - 과답률: 2.1% → 0.0%
  - MoE Expert 도메인 특화: LoRA rank16 (활성 파라미터 1.6%) 범위 내 안전 학습 확인
</t>
  </si>
  <si>
    <t>03월 20일</t>
  </si>
  <si>
    <t>1. SFT 결과 기반 DPO 페어 데이터 생성
  - SFT 최적 모델 전수테스트 결과에서 정답-오답 쌍 94쌍 생성
  - 데이터 확장(199쌍, 114쌍) 대비 소규모 고품질(94쌍) 효과적임을 비교 실험으로 확인
2. DPO/SimPO/IPO 선호도 학습 실행
  - DPO 3회 → SimPO/IPO로 전환하여 실험 수행
  - SimPO 최적 설정: 76.3% — 교정 78건, 회귀 41건, 순효과 +37건
  - IPO 최적 설정: 73.7% — SimPO와 43건씩 서로 다른 케이스 맞춤, 상호 보완 확인
3. 튜닝 모델 704건 전수 평가
  - 전수 테스트 수행, 교정/회귀 분석 완료
4. Base vs Tuned 비교
  - SimPO vs IPO 교차 분석: 동일 정답 수이나 43건씩 다른 케이스 → 앙상블 가능성 확인
  - IPO 고유 교정 22건 식별 (SimPO와 상호 보완 영역)
5. LLM 전환율 개선 현황
  - 기본모델 71.0% → 76.3% (+5.3%p, 목표 85%+ 대비 진행 중)
  - 오답 147건 → 142건 (−5건),
    소답 42건 → 25건 (−17건), 과답 15건 → 0건 (완전 해소)</t>
  </si>
  <si>
    <t>1. 미매칭 케이스 원인 분석
- 문서 미검색 vs 다른 문서 매칭 유형 분류
- Reference 정확성 재검증
- 정답지 데이터에 없던 항목의 Reference 확인
2. 튜닝 전후 비교 테스트
- PC 739건 전수 비교: 77.5% → 77.5% (변동 없음)
- 문서명 매칭 기반 평가로 LLM 답변 품질과 무관</t>
  </si>
  <si>
    <t>1. 매칭 케이스 실제 정답 분석
  - 문서 매칭은 되었으나 정답 여부 유형 분류
2. 튜닝 전후 비교 테스트
  - CS 296건 전수 비교: 69.3% → 69.3% (변동 없음)
  - 문서명 매칭 기반 평가로 튜닝 영향 없음
3. 골든셋 검수
  - 7건 수동 검수: 정답 청크 확인 완료
  - 참조 문서의 청크ID 매핑이 3건 미완성</t>
  </si>
  <si>
    <t>1. 실패 케이스 유형 분류
  - 검색 실패 (문서를 못 찾는 경우) 
  - 답변 생성 오류 (문서는 찾았으나 답변이 틀린 경우)
2. 답변 생성 프롬프트 개선 검토
3. 튜닝 전후 비교 테스트
  - BM 300건 전수 비교: 69.7% → 62.0% (−7.7%p 하락)
  - 정답 23건 감소
4. 골든셋 검수
  - 14건 수동 검수: 2건 숫자/문자 불일치</t>
  </si>
  <si>
    <t>1. 실패 케이스 유형 분류
- 검색 실패 (문서를 못 찾는 경우) 
- 답변 생성 오류 (문서는 찾았으나 답변이 틀린 경우)
2. 답변 생성 프롬프트 개선 검토</t>
  </si>
  <si>
    <t>1. 답변 품질 개선 분석
  - 답변 생성 프롬프트 개선 포인트 도출
  - 검색 정확도 97.0% (최고)이나 답변 정확도 70.5%
  - 문서는 찾으나 답변 생성 실패가 주된 원인, 케이스 집중 분석
2. 튜닝 전후 비교 테스트
  - TC 264건 전수 비교: 70.5% → 57.2% (−13.3%p, 최대 하락폭)
  - 정답 35건 감소, 오답 31건 증가
3. 골든셋 검수
  - 16건 수동 검수: 5건 명확 불일치 발견
  - "간편심사" 상품 약관 색인 미등록 (3건)
  - "암 정의" 질문 청크 오매핑 (2건)</t>
  </si>
  <si>
    <t>멀티턴 테스트 환경 구성</t>
  </si>
  <si>
    <t>1. 학습 및 검증세트 수급</t>
  </si>
  <si>
    <t>1. 데이터셋 재가공 (~3/25)
 - STT 가명화
 - 정답지, 키워드 재검수
 - 데이터 건수 확정 (품질개선 툴 - 전체상담내용요약 - 1단계 결과기반)
2. 메타데이터 관련 (~3/26)
 - 메타데이터 A/B 테스트 (효과 검증)
 - (효과 검증 시) 워크플로우 개발 및 메타데이터 준비</t>
  </si>
  <si>
    <t>1. 오류유형분석
 - 외부 품질개선 툴 활용(2단계): 오류 케이스 분석 (~3/24)
2. 프롬프트 개선
 - 외부 품질개선 툴 활용(3단계): 기존 프롬프트 디벨롭, 새로운 프롬프트 개발 병행 (~3/24)
3. LLM Judge 평가 실시 (3/19)</t>
  </si>
  <si>
    <t>1. 오류유형분석
 - 외부 품질개선 툴 활용(2단계): 오류 케이스 분석 (~3/24)
2. 프롬프트 개선
 - 외부 품질개선 툴 활용(3단계): 기존 프롬프트 디벨롭, 새로운 프롬프트 개발 병행 (~3/24)
3. LLM Judge 평가 실시 (~3/26)</t>
  </si>
  <si>
    <t xml:space="preserve">[전체, 고객, 상담사]
1. 오류유형분석
 - 외부 품질개선 툴 활용(2단계): 오류 케이스 분석 (~3/24)
2. 프롬프트 개선
 - 외부 품질개선 툴 활용(3단계): 기존 프롬프트 디벨롭, 새로운 프롬프트 개발 병행 (~3/24)
3. LLM Judge 평가 실시 (3/19) </t>
  </si>
  <si>
    <t xml:space="preserve">[전체, 고객, 상담사]
1. 오류유형분석
 - 외부 품질개선 툴 활용(2단계): 오류 케이스 분석 (~3/24)
2. 프롬프트 개선
 - 외부 품질개선 툴 활용(3단계): 기존 프롬프트 디벨롭, 새로운 프롬프트 개발 병행 (~3/24)
3. LLM Judge 평가 실시 (~3/26) </t>
  </si>
  <si>
    <t>1. 민원/개선 데이터 추가 (~3/20)</t>
  </si>
  <si>
    <t xml:space="preserve">1. 오류유형분석
 - 외부 품질개선 툴 활용(2단계): 오류 케이스 분석 (~3/24)
2. 프롬프트 개선
 - 외부 품질개선 툴 활용(3단계): 기존 프롬프트 디벨롭, 새로운 프롬프트 개발 병행 (~3/24)
3. LLM Judge 평가 실시 (~3/26) </t>
  </si>
  <si>
    <t xml:space="preserve">[대분류]
1. 오류케이스 분석 후 리포트
2. GT 라벨이 STT 데이터를 바라보고 GT 라벨이 분류된 케이스&amp; 중분류를 보고 대분류를 분류한 케이스 등의 케이스가 있음, 즉 상담 내용 전체가 요약된 데이터에는 고객이 발화한건지 상담사가 발화한건지를 알 수 없기 때문에 첫 발화 원칙이 프롬프트 상 완전 반영되기 어려운 상태. 
3. 일반 상담 → 보험금청구상담 / 보험금청구상담  → 일반 상담 으로 분류된 케이스가 가장 많은 상태라 해당 분류 정확도만 올려도 80% 가능
[중분류]
1. 오류케이스 분석 후 리포트
2. 중분류의 경우, TOP2가 허용되는 케이스가 다수일 수 있음
3. 리포트 분석 중
[소분류]
1. 오류케이스 분석 
2. "없음" 필터링을 강화하는 전략으로 프롬프트 엔지니어링 고도화 작업 
- GT에 정답이 있는 데이터 중 7개 데이터가 false로 떨어지는 상황 
- 추후 전략은 GT에 정답이 있는 데이터는 모두 TRUE로 분류할 수 있도록 퓨샷 추가 + 없음 필터링 강화 
[UXW]
1. 멀티턴 테스트 보류 
 ㄴ 개발계에 멀티턴까지 다 적용되면 테스트 예정
2. 페르소나 프롬프트 workflow 추가 작업 
 ㄴ 현재 UXW 노드에 추가하지 않고, 답변 노드에 페르소나 가이드를 넣어둔 상황
3. 어조 프롬프트 workflow 추가 후 상세 개선 사항 확인 후 적용 완료 </t>
  </si>
  <si>
    <t xml:space="preserve">[대분류]
1. 오류케이스 분석 후 리포트
2. 일반 상담 → 보험금청구상담 / 보험금청구상담  → 일반 상담 으로 분류된 케이스 고도화
[중분류]
1. 오류케이스 분석 후 리포트
2. 중분류의 경우, TOP2가 허용되는 케이스 확인 요청
[소분류]
1. 오류케이스 분석 
2.   GT에 정답이 있는 데이터 중 7개 데이터가 false로 떨어지는 데이터 고도화
[UXW]
1. 페르소나 및 어조 프롬프트 1차 마무리 
2. 테스트 시 개선 사항 확인 후 고도화 </t>
  </si>
  <si>
    <t>1. 정답 데이터 청크 매칭
- 각 카테고리별 정답지의 Chunk_id를 골든셋 기준으로 매칭 및 검증
2. 데이터 확인 및 비교
- 기존 정답지와 골든셋 간 데이터 정합성 비교
- 불일치 항목 식별 및 정리
3. 프롬프트 정확도 개선 실험
- 단순 및 복합 프롬프트 Ablation 테스트: 포지티브/네거티브, 지시 등의 프롬프트 단일 및 결합 테스트
4. RAG 검색 개선
- Hybrid Search + Reranker + 청크 최적화
- Query Expansion 테스트
- Context Refinement: LLM 스코어링 → 상위 1~3개 필터 테스트, 노이즈 제거 및 정제된 컨텍스트로 답변 품질 향상
5. Qwen3-30B 모델 튜닝
- GPU #6 학습 전용 환경 구축
- SFT 학습 데이터 설계 (6개 카테고리 2,608건)
- Unsloth Attention/MoE fused 커널 기반 학습 착수
- DPO/ORPO 페어 데이터 설계
- Thinking Mode 해결: &lt;think&gt; 태그 출력 이슈 근본 해결로 Dify Structured Output 안정성 확보
- MoE Expert 도메인 특화: 128개 Expert 중 활성 Expert의 가중치를 보험 도메인에 맞게 미세조정
6. 오답노트 작성
- 카테고리별 오답 케이스 분석 및 원인 정리
- 오답 유형 패턴 분류 (검색 실패 / 문서 매칭 실패 / 답변 생성 오류)</t>
  </si>
  <si>
    <t>03월 13일</t>
  </si>
  <si>
    <t>1. SFT 최적 모델 확정 (LlamaFactory vs Unsloth 비교)
2. DPO 학습 실행 (beta=0.1, 선호도 학습)
3. ORPO 학습 실행 (Ref 모델 불필요, VRAM 절약)
4. SimPO 추가 실험
5. 6개 카테고리 2,608건 전수 평가
6. Phase 1 KPI 판정 (WM≥85%, 전체≥80%)
- LLM 전환율 74% → 목표 85%+
- 프롬프트 최적화 한계 도달 후 모델 자체 능력 개선으로 도메인 특화 답변 생성 강화
- 오답률 20.3% → 목표 10% 이하: 도메인 용어/패턴/보험 약관 구조를 모델 가중치에 직접 학습
- 소답률 2.1% → 목표 1.5%: 필요 정보 누락 감소
- 환각 거절 능력 확보: Negative 샘플 학습으로 검색 실패 시 "정보 없음" 응답 생성
- MoE Expert 도메인 특화: 128개 Expert 중 활성 Expert의 가중치를 보험 도메인에 맞게 미세조정
7. RAG 검색 개선
- Hybrid Search + Reranker + 청크 최적화
- Query Expansion 테스트
- Context Refinement: LLM 스코어링 → 상위 1~3개 필터 테스트, 노이즈 제거 및 정제된 컨텍스트로 답변 품질 향상</t>
  </si>
  <si>
    <t>1. P1 복합 프롬프트 → 72~73% 목표
2. CR 파이프라인 적용 → 75%+ 목표
- Context Refinement: Qwen3-30B 청크 스코어링 → 7점+ 필터 → Top 1~3개
- Self-Verification: 답변 후 검증 LLM → 근거 불일치 시 재생성
3. Qwen3-30B 모델 튜닝 착수
- SFT 학습 데이터 설계 및 구축 (WM 704건)
- H200 환경 구성 및 학습 파이프라인 세팅
- Unsloth SFT 학습 (3 epoch, rank=64, MoE Expert LoRA, 공식 벤치마크 ~0.4s/step)
- LlamaFactory SFT 학습 (rank=32, attention-only, ~45s/step)
4. 오류 유형별 DPO 페어 데이터 설계
5. 튜닝 모델 A/B 비교 평가
- LlamaFactory vs Unsloth 모델 vLLM 서빙 (TP=2) + 704건 테스트
- 베이스라인 대비 효과 측정
6. DPO 학습 착수 (금요일)</t>
  </si>
  <si>
    <t>1. SFT 결과 기반 DPO 페어 데이터 생성
2. DPO/ORPO 학습 실행
3. 튜닝 모델 704건 전수 평가
4. Base vs Tuned 비교 리포트
--
1. WM 정확도 71.9% → 85%+ (Phase 1 목표): 절차/단계 기반 답변 패턴 직접 학습으로 가장 큰 폭 개선 기대
2. 오답 143건 → 70건 이하: 업무 절차 순서/조건 분기 오류 감소
3. Context Refinement + 튜닝 시너지: CR 파이프라인이 상위 청크만 필터 → 튜닝 모델이 정제된 컨텍스트에서 정확 답변 생성
4. 학습 속도 100x+ 향상: Unsloth MoE fused 커널 (~0.4s/step) vs LlamaFactory (~45s/step), 총 학습 시간 2.5시간 → ~15분</t>
  </si>
  <si>
    <t>1. 미매칭 케이스 원인 분석
- 문서 미검색 vs 다른 문서 매칭 유형 분류
- Reference 정확성 재검증
- 정답지 데이터에 없던 항목의 Reference 확인</t>
  </si>
  <si>
    <t>1. PC 카테고리 SFT 포함 평가
2. 미매칭 원인별 개선 방안 적용
--
1. PC 77.5% → 85%+: 시스템 화면 기반 답변의 정형화된 패턴 학습
2. 미매칭 원인 파악으로 검색 품질 개선 방향 도출: 문서 미검색 vs 매칭 오류 구분으로 검수 테스트</t>
  </si>
  <si>
    <t>1. 매칭 케이스 실제 정답 분석
- 문서 매칭은 되었으나 정답 여부 유형 분류</t>
  </si>
  <si>
    <t>1. 검색 정확도 개선
   - 검색 실패 원인 분석
   - 검색 품질 개선 방안 수립</t>
  </si>
  <si>
    <t>1. 검색 실패 원인 분석
2. 검색 품질 개선 방안 수립
3. 튜닝 모델 평가 (305건)
--
1. PM 51.1% → 65%+: 현재 가장 낮은 정확도 카테고리. 검색 실패 높음 → 검색 개선이 우선이나 모델 튜닝으로 찾은 문서 활용도 향상 기대
2. 상품 조건/특약 구조 학습: 복잡한 보험 상품 조건 분기 패턴 학습</t>
  </si>
  <si>
    <t>1. 실패 케이스 유형 분류
- 검색 실패 (문서를 못 찾는 경우) 
- 답변 생성 오류 (문서는 찾았으나 답변이 틀린 경우)
2. 답변 생성 프롬프트 개선 검토
--
1. BM 69.7% → 80%+: 보험 약관 기반 정확 답변 생성 능력 강화
2. 실패 유형 분류로 정밀 대응: 검색 실패(인덱스/청크 문제)와 답변 생성 오류(LLM 능력 문제) 구분하여 각각 최적 해결</t>
  </si>
  <si>
    <t>1. 답변 품질 개선 분석
- 문서는 정확히 찾으나 답변이 틀리는 케이스 집중 분석
- 답변 생성 프롬프트 개선 포인트 도출</t>
  </si>
  <si>
    <t>1. 답변 생성 프롬프트 개선
2. 튜닝 모델 평가 (264건)
--
1. TC 70.5% → 80%+: 법률 용어/약관 구조 직접 학습으로 답변 정확성 향상
2. 문서 찾았으나 오답인 케이스 해결 방안
- 검색은 성공하나 LLM 전환 실패 → 모델 튜닝 직접 효과 영역</t>
  </si>
  <si>
    <t>1. 프롬프트 개선
 - 전체상담내용요약 프롬프트의 개선포인트 활용 (3/13~)</t>
  </si>
  <si>
    <t>[전체상담내용]
1. 오류유형분석
 - 외부 품질개선 툴 활용(2단계): 오류 케이스 분석 (~3/11)
2. 프롬프트 개선
 - 외부 품질개선 툴 활용(3단계): 기존 프롬프트 디벨롭, 새로운 프롬프트 개발 병행 (~3/12)
3. LLM Judge 평가 실시 (3/12)
[고객발화내용, 상담사발화내용]
1. 프롬프트 개선
 - 전체상담내용요약 프롬프트의 개선포인트 활용 (3/13~)</t>
  </si>
  <si>
    <t>[전체, 고객, 상담사]
1. 오류유형분석
 - 외부 품질개선 툴 활용(2단계): 오류 케이스 분석 (~3/24)
2. 프롬프트 개선
 - 외부 품질개선 툴 활용(3단계): 기존 프롬프트 디벨롭, 새로운 프롬프트 개발 병행 (~3/24)
3. LLM Judge 평가 실시 (3/19)</t>
  </si>
  <si>
    <t>1. 민원/개선 데이터 추가하여 프롬프트 재검증 및 분석 (~3/12)</t>
  </si>
  <si>
    <t xml:space="preserve">[대분류]
1. 오류케이스 분석 후 리포트 1차 정리
[중분류]
1. 오류케이스 분석 후 리포트 1차 정리
[소분류]
1. 오류케이스 분석 후 리포트 1차 정리 
[UXW]
1. 감정 분류(평온/슬픔/화남) 테스트 
 ㄴ 감정 분류 프롬프트 제외 논의 중
2. 멀티턴 시 감정 트리거 부분 테스트(dify)
 ㄴ 감정 변화는 평온에서 화남/슬픔으로 바뀌는 케이스만 테스트하기로 함 
 ㄴ dify에서 테스트 시 멀티턴 감정 트리거 부분 확인 가능 (프롬프트 / code 둘 다 테스트)
3. 최종 어조 프롬프트(정보 안내형/ 정보 확인형) 병합 후 테스트 
  ㄴ 최종 어조 프롬프트 요건 확인 후 가능/불가능 여부 확인 완료 
  ㄴ 어조 프롬프트 프롬프트 고도화 
</t>
  </si>
  <si>
    <t xml:space="preserve">[대분류]
1. 오류케이스 분석 후 리포트
2. 개선 작업
[중분류]
1. 오류케이스 분석 후 리포트
2. 개선 작업
[소분류]
1. 오류케이스 분석 후 리포트
2. 개선 작업
[UXW]
1. 최종 요구사항 마무리 작업 </t>
  </si>
  <si>
    <t xml:space="preserve">1. Re Rank 시 발생하는 데이터 품질/노이즈 체크
  - 정답 데이터 Top-K 랭킹 진입여부 검토
2. Lexical + Vector 비중 변경 테스트
  - 4개 검색 필드 조합별 Case 테스트 추가 진행
  - 최적 weight 조합 재산정
 </t>
  </si>
  <si>
    <t>03월 06일</t>
  </si>
  <si>
    <t>1. Original 문서 업데이트 
  - 답변 오류 항목만 Rewrite 하지 않고, 전체 Chunk의 Rewrite 시도
2. 약어 사전 적용 테스트
3. 현업 Feedback 결과 분석 및 반영
4. RLHF 활용 Fine tuning 환경 수립</t>
  </si>
  <si>
    <t>1. RAG 매칭율 향상을 위해 Hybrid Search 기능 테스트
  - chunk_with_weight 제외 후 Hybrid Search 진행 테스트</t>
  </si>
  <si>
    <t>1. 스크립트별 목적 자동 생성 후 매칭에 활용
  - 전체 스크립트를 Rule Based로 분류하고 
    목적이 겹치지 않도록 조정하는 프로그램 테스트
  - 단점 : 향후 운영 시 관리자가 상담 스크립트를 등록할 때 기존에 동일한 목적이 
            있었는지 확인을 반드시 선행해야 함.</t>
  </si>
  <si>
    <t>1. 형태소 분석 활용 BM25 검색 추가 --&gt; Hybrid 검색 시도</t>
  </si>
  <si>
    <t>1. 기본 답변 프롬프트 개선 방향 수립
  - 업무 매뉴얼과의 영향도 분석</t>
  </si>
  <si>
    <t>02월 27일</t>
  </si>
  <si>
    <t>1. 오류유형분석
 - 외부 품질개선 툴 활용(2단계): 오류 케이스 분석 (~3/3)</t>
  </si>
  <si>
    <t>[전체상담내용, 고객발화내용]
1. 오류유형분석
 - 외부 품질개선 툴 활용(2단계): 오류 케이스 분석 (~3/3)
2. 프롬프트 개선
 - 외부 품질개선 툴 활용(3단계): 기존 프롬프트 디벨롭, 새로운 프롬프트 개발 병행 (~3/6)
3. LLM Judge 평가 실시 (3/6)</t>
  </si>
  <si>
    <t>1. 민원/개선 데이터 추가하여 프롬프트 재검증 및 분석 (~3/5)</t>
  </si>
  <si>
    <t>1. 오류세부유형 케이스 2가지 검토
 - "정답 가능 여부"에 해당하는 케이스
 - "정답 변경 필요"에 해당되는 케이스 검토 (정답지="있음"/"없음")</t>
  </si>
  <si>
    <t>[대분류]
1. 오류 케이스 분석 중
2. GT를 Top2를 받아서 뽑아온 Top1이 이 안에 들어갈 수 있는지로 테스트하는 방향성 제안
3. 현재 프롬프트 구조가 step2에서 일반 상담 필터를 거친 후 step3에서 업무별 세부 분류를 하고 있음 
- 일반상담이 "제지급요청"/ "변경관련" / "호전환" / "보험금청구상담"으로 오분류 
- "보험금 청구 상담"을 일반상담으로 분류가 되고 있음 
[중분류]
1. 오류케이스 분석 중
[소분류]
1. 오류 케이스 분석 중
[UXW]
1. 페르소나 프롬프트 고도화 
 - 연령 제외 결정 
 - 감정 테스트 set 100건 요청 
 - 감정 프롬프트 고도화 예정
2. 최종 어조 프롬프트 고도화 및 테스트
 - 정보 안내형 고도화 후 테스트 
   이슈사항
    1) 불렛 영역 항목은 명사형이 아닌 문장형으로 표현되는 경우가 있음 
    2) 의료법-&gt;「의료법」 법은 홑낫표로 표기가 어려움 
 - 정보 확인형은 고도화 중
3. 감정 + 정보 안내/확인형 workflow 완성
4. 현재 UXW 요구사항 중 기능 구현이 기한 내 불가능한 케이스 확인 중
 - 용어 아카이브  반영 필요
 - 정보 확인형/안내형 Type 관련 AI 판단여부 확인필요
 - 텍스트 속성 스타일링 관련 문의
 - 자료제공에 대한 가능여부와 범위파악 안내
 - 문장 중 용어 설명 주석처리
 - 답변 생성 중 타이핑인디케이터 메시지 적용</t>
  </si>
  <si>
    <t xml:space="preserve">[대분류]
1. 오류케이스 분석 후 리포트
[중분류]
1. 오류케이스 분석 후 리포트
[소분류]
1. 오류케이스 분석 후 리포트
[UXW]
1. 감정 분류(평온/슬픔/화남) 테스트 
2. 멀티턴 시 감정 트리거 부분 테스트(dify)
3. 감정 + 최종 어조 프롬프트 병합 후 테스트 </t>
  </si>
  <si>
    <t xml:space="preserve">UXW 감정_테스트 셋 요청건 검토 필요 </t>
  </si>
  <si>
    <t>[요약 프롬프트 개선 절차]
1. 문제 정의
2. 기준 명문화 (반드시 포함해야 할 것, 반드시 제외해야 할 것)
3. 프로세스 (사고 절차, 정제-&gt;핵심목적-&gt;판단-&gt;출력) 분리
4. 오뷴류 샘플 수집 (분석결과 반영)
5. Trigger / Override 추가
6. Few-shot 보강
7. 자동 평가 (LLM Judge)
8. 반복</t>
  </si>
  <si>
    <t xml:space="preserve">1. Azure AI Search 내 한글 형태소 분석기 적용 &amp; Top-5 조정
  - 적용된 분석기 : ko.microsoft - Nori
  - 성과 : Lexical 검색 정확도향상
             RAG Top-K 를 5까지 낮추고 정답률 진행 시 기존과 유사한 결과 획득
2. Rerank 모델 교체  --&gt; BGE-m2 Rerank 모델           
</t>
  </si>
  <si>
    <t>1. Self-Consistency 3회 수행 
  - 장점 : 82.48% 정확도 달성
  - 단점 : 3회 SLM 수행으로 인해 응답속도 저하, Streaming 불가
  - 처리 : 비기능 요건으로 인해 회귀 처리
  - Insight : Qwen3-30b-a3b 모델의 성능 향상을 위한 FT 진행 시작 필요
2. Original 문서 업데이트 
  - 축약 표현을 자연어 문장 형태로 풀어서 Rewrite
  - 변경한 문서의 정답 전환율은 50% 정도 향상되었으나 오류 회귀 건수가 증가
  - 추가 실험 필요</t>
  </si>
  <si>
    <t>1. RAG 매칭율 향상을 위해 PC 매뉴얼의 Hybrid Search 기능 테스트
  - 기존 방식 : 문서명 기반 유사도 측정
  - 신규 방식 : important_cs[0] (상세 설명) + important_cs[1] (요약) 활용 Vector 검색
  - 성과 : 문서 Matching 율 하락 
  - 원인 파악 진행 중</t>
  </si>
  <si>
    <t>1. 스크립트별 목적 자동 생성 후 매칭에 활용
  - 배경 : 스크립트 사용 목적 항목은 이미 Chunk에 있음에도 불구하고 Matching이 안됨
  - 시도 : GPTOSS-120b를 이용하여 스크립트 내용을 보고 자동으로 목적 추가
  - 결과 : Matching율이 기존과 유사. 효과 없는 것으로 판단되어 원상 복구
  - 원인 : 스크립트별로 따로 분석을 하니 유사한(조건만 다른 경우) 스크립트의 목적을 
             동일하게 입력하여 오히려 노이즈 발생</t>
  </si>
  <si>
    <t>1. 질의 내 상품명 추출 후 검색 키워드로 활용
  - 시도 : 상품명 키워드(docnm_kwd) + 원본 질문(Content_with_weight + Vector)
  - 결과 : 10% 가량 정확도 상승
  - 추가 고려사항 : 상품 매칭 실패 시 Fallback 처리 방안 필요</t>
  </si>
  <si>
    <t>1. 프롬프트 개선
 - 개선된 "전체내용요약" 프롬프트 일부 반영 (~2/26)
2. LLM Judge 평가 실시 (~2/26)</t>
  </si>
  <si>
    <t>[전체상담내용, 고객발화내용]
1. 누적 평가된 오류 케이스 분석 (2/12)
2. 프롬프트 개선 작업 진행 (~2/26)
3. LLM Judge 평가 실시 (~2/26)</t>
  </si>
  <si>
    <t>1. 민원/개선 데이터 추가하여 프롬프트 재검증 및 분석 (~2/26)</t>
  </si>
  <si>
    <t>1. 민원/개선 데이터 추가하여 프롬프트 재평가 및 분석 (~2/26)</t>
  </si>
  <si>
    <t>[대분류]
결과: 일반분류 부분의 오류 사항을 분석해서 아래와 같이 수정한 후 5% 상승
1. 기존 v11.6 프롬프트 구조 100% 유지
2. Step 2(안내만 vs 실제 처리)에 "일반 상담으로 분류해야 하는 구체적 패턴" 추가
3. Step 5(복합 상담)에 "청약철회는 일반 상담" 규칙 재강조
4. Step 6(Self-Correction)에 일반 상담 과분류/과소분류 검증 항목 추가
5. 기타문의 판별 가이드 Step 4에 추가
[중분류]
1. 퓨샷 케이스 분석 및 확인 후 적용 예정
[소분류]
1. 현재 소분류는 선택
2. "없음' 케이스가 많은 상태로, 프롬프트 내 없음을 가장 우선순위로 결정한 후 76% hit 
[UXW]
1. 현재 기획서 기반 프롬프트 구축 및 1차 테스트 완료(감정/나이 분류)
 ㄴ 기존 테스트 set 기반 감정은 약 70% 확률로 구분하는 것으로 보임
2. 관련 이슈 확인 요청(~27일)</t>
  </si>
  <si>
    <t xml:space="preserve">[대분류]
1. 오류케이스 분석 및 퓨샷 및 규칙 추가 
[중분류]
1. 오류케이스 분석 및 퓨샷 및 규칙 추가 
[소분류]
1. 현재 소분류는 선택
2. "없음' 케이스가 많은 상태로, 프롬프트 내 없음을 가장 우선순위로 결정한 후 76% hit 
3. 오류케이스 분석 및 퓨샷 추가 
[UXW]
1. 어조 규칙 프롬프트 고도화 
2. 페르소나+전체 어조 규칙 추가 및 테스트 
</t>
  </si>
  <si>
    <t>UXW 연령, 감정 대응 방식 재검토 
1. 테스트 결과 
- 연령별 어투 변경 : 연령대별(65세 미만, 이상) 차별화된 톤 적용 검토 
- 감정 기반 어투 변경 : 단일 질문을 통한 차별화된 톤 적용 검토 
2. 주요 이슈 및 한계점
- 답변 일관성 저하 : 연령별로 톤을 강제로 분리할 경우, 전체적인 일관성 훼손이 있음
- 기술적 제약(멀티턴 이슈) : 단일 질문만으로는 감정 판단이 어렵고, 시스템상 문맥을 유지하는 멀티턴 기능엔 한계가 있어 실질적 효용성 낮음 
- 데이터 입력 방식의 한계: 상담사가 메시지를 복사/붙여넣기 하는 방식으로는 적시성 있는 감정 파악 및 대응이 불가능 
3. 향후 대응 방안
- 연령별 어투: 서비스 안정성을 위해 미적용 
- 감정 대응: 상담사가 프롬프트를 통해 상황과 감정을 직접 설명하고, 대응안을생성 요청하는 방식으로 가이드 정립</t>
  </si>
  <si>
    <t>1. WM+PM+TS+BM 통합 Rerank 노드 추가
  : 정밀도 향상을 위한 기반 환경 구축
  --&gt; 정답 순위가 낮아짐에 따라 정확도 2% 가량 상승
2. 문서 종류 (WM, PM, TS, BM) 간 유사도 Score 표준화
  : 업무매뉴얼이 다수의 검색 단계를 거치다보니 곱셈에 의해 낮은 점수 형성
  : 업무매뉴얼의 순위를 높이면서 타 문서 종류에 영향을 주지 않도록 표준화
  --&gt; 업무 매뉴얼의 낮은 순위로 인해 발생된 오류 건 정답 전환율 1.5% 내외
3. 최종 통합 Rerank 노드 추가 : 최종 Top-k 20으로 감소
  --&gt; 정밀도 향상, 정확도 변화 미미
4. Two-stage reasoning 제거 : 프롬프트 엔지니어링으로 커버링 --&gt; 응답 시간 감소</t>
  </si>
  <si>
    <t>02월 13일</t>
  </si>
  <si>
    <t>1. Rerank 모델 교체 --&gt; BGE-m2 Rerank 모델 
2. 통합 Rerank 노드 Top-k 변경 실험
  : 정답 Chunk 순위 향상에 따라 낮은 순위의 Chunk 절삭
3. 응답 속도 개선 실험
  : 핵심 정보 추출 노드 제거 --&gt; LLM 호출 횟수 절감, 응답속도 개선
4. (현업 요청사항) 답변 생성 출처 및 근거 생성 위한 Workflow 변경 실험
  - Qwen3 가 답변을 만들어낸 논리적 이유 및 참고 Chunk 추출 실험</t>
  </si>
  <si>
    <t>1. 프롬프트 단순화,추상화
  --&gt; 응답 속도 향상, 정확도 변화 미미, 추가 프롬프트 엔지니어링 수행을 위한
       프롬프트 추가 변경 공간 확보
2. Chunk Attention 엔지니어링 실험
  - 모든 Chunk를 순회하며 해당 Chunk가 질문에 대한 답변을 찾을 수 있는지
    프롬프트에서 Top3 검출, Top3를 주로 이용하도록 지시 프롬프팅</t>
  </si>
  <si>
    <t xml:space="preserve">1. Chunk Retrieve 개수 정리 (15건으로 줄이기)
  - 정답 Chunk의 Context Windows 에 등록된 순위 상승 유도, 답변 개선 예상
2. </t>
  </si>
  <si>
    <t>1. PC 매뉴얼 RAG 정확도 향상을 위한 파라미터 조정
  - 기본 70% 정확도 도출
  --&gt; PC 매뉴얼의 프롬프트 개선 작업 통해 LLM Judge 기준 70% 가량 진행</t>
  </si>
  <si>
    <t>1. RAG 매칭율 향상을 위해 PC 매뉴얼의 Hybrid Search 기능 테세트</t>
  </si>
  <si>
    <t>1. 상담 스크립트 용 별도 Query Expansion 테스트
  - 질의 키워드와 대화 내용 간의 유사성 증대 방안 테스트
  --&gt; 실패, 전체적으로 성능 향상이 기대에 미치지 못하고 3~4% 증감</t>
  </si>
  <si>
    <t>1. (관련 Vector Database 사용 경험 없는 인월) 키워드 검색(BM25) 만 활용하여
   응답 순위 향상 및 정밀도 향상
2. 상담 스크립트를 RAG 없이 도메인 분류 프롬프트와 유사한 분류 문제로 90% 이상 달성 목표</t>
  </si>
  <si>
    <t xml:space="preserve">1. 상품명 기반 질의 Routing
  - 상품명이 질의 내에 있을 경우 상품 매뉴얼 Chunk의 Score 향상
 </t>
  </si>
  <si>
    <t>1. Baseline 프롬프트 응답 관련 인수인계 수행 (김기태 Role out)</t>
  </si>
  <si>
    <t>1. 기본 답변 프롬프트 개선 방향 수립  (Workflow3.8.26)
  - 업무 매뉴얼과의 영향도 분석</t>
  </si>
  <si>
    <t>1. 데이터 기본 분석
  - Baseline 정확도 재검 및 실패 사례 분석</t>
  </si>
  <si>
    <t>1. LLM Judge
 - 평가 기준(정답/과답/누락/오답) 변경 검토 (~2/11)
2. 오답 분석
 - 지정 요약 태스크/오류유형별 분석
3. 키워드 추출
 - 프롬프트 개선: 현업 피드백 반영 (2/9)</t>
  </si>
  <si>
    <t>0. LLM Judge 평가 실시
 - 660건 (~2/12)
1. 프롬프트 개선
 - 금주 개선된 "전체내용요약" 프롬프트 일부 반영 (~2/12)</t>
  </si>
  <si>
    <t>1. LLM Judge 평가 데이터 분석 (오답/과답/정답)
    - "고객발화" Task 전체 분석 완료 예정 (~2/11)
        - (2/11 오전 기준) 127건 분석 완료
    - "전체상담" Task 전체 분석 완료 예정 (~2/11)
        - (2/11 오전 기준) 50건 분석 완료
        - (2/12 오후 기준) 71건 분석 완료
2. "고객발화" 프롬프트 개선 작업 진행 (~2/12)
    - 요약 기준강화
    - 퓨삿 보강 작업
3. "전체상담" 프롬프트 개선 작업 진행 (~2/12)
    - 오답유형 분석결과 반영
4. LLM Judge 평가 실시
 - 660건 (2/12)</t>
  </si>
  <si>
    <t>[전체 상담]
1. 누적 평가된 오류 케이스 분석 (2/12)
2. 프롬프트 개선 작업 진행 (~2/26)
3. LLM Judge 평가 실시 (~2/26)</t>
  </si>
  <si>
    <t>1. 민원/개선 데이터 추가하여 프롬프트 재평가 및 분석 (~2/12)</t>
  </si>
  <si>
    <t xml:space="preserve">1. 소분류_STT 요약 데이터 기반 테스트 완료 - 76%
2. 중분류_STT 요약 데이터 기반 top-2 / top-3 테스트 완료 
 - top-2 : 60%
 - top-3: 65%
3. 중분류 top-2/top3 뽑은 후 토너먼트 판별 효과가 미비 - 40%
4. 대분류 xml 구조 변경 후 테스트 완료 - 57%
5. 대분류_STT 요약 데이터 기반 top2 - 68%
6. 대분류_STT 요약 데이터 기반_퓨샷 보강 및 호전환 우선순위 약화 - 60%
7. 대중소 일괄판단 구조로 프롬프트 변환 - 약 10% 전후
8. 대분류_STT 요약 데이터기반 top2 - 65% (약 5% 상승) /top 3 - 63%
9. 고도화하는 과정에서 퓨샷, 예외 조건 등 조건이 복잡화되면서 오분류가 증가하는 현상 발견 
</t>
  </si>
  <si>
    <t>[대분류]
1. 080, AHL, 바이탈리티처럼 "특정스킬 상담사의 콜에만 해당"하는 값을 활용해서 분류를 해볼 예정
2. 일반 문의 케이스 51건 기준으로 분석하여, 최대한 일반 문의 부분 오류를 줄이는 방향성으로 우선 작업
3. 보험금청구상담 부분이 여전히 일반 상담으로 분류되는 부분에 대해서 프롬프트 강화 작업 
[중분류]
1. 퓨샷 케이스 분석 및 확인 후 적용
[UXW]
1. 현재 기획서 기반 프롬프트 구축(감정/나이 분류)
2. 답변 UXW 프롬프트 개선(~1/27)
2. 관련 회의(2/20)</t>
  </si>
  <si>
    <t>1. UXW 기획서 재확인 필요 
 - 12월 기반에는 질문 의도를 3가지로 분류하는 것이 프롬프트에 추가되어 작성이 되어있음 
 - 현재 기획서에는 감정/나이만 작성되어 있어 확인이 필요 
 - 기존에는 페르소나와 UXW이 독립적으로 테스트가 되어 각각의 테스트 GT가 다른 상황
 - 머지가 된 이후에 테스트 건을 하나로 통일해야 할 필요성이 있음</t>
  </si>
  <si>
    <t>[요약 프롬프르 개선 절차]
1. 문제 정의
2. 기준 명문화 (반드시 포함해야 할 것, 반드시 제외해야 할 것)
3. 프로세스 (사고 절차, 정제-&gt;핵심목적-&gt;판단-&gt;출력) 분리
4. 오뷴류 샘플 수집 (분석결과 반영)
5. Trigger / Override 추가
6. Few-shot 보강
7. 자동 평가 (LLM Judge)
8. 반복</t>
  </si>
  <si>
    <t xml:space="preserve">1. 업무 매뉴얼 이외에 상품매뉴얼, PC 매뉴얼 등의 Chunk를 통합 Rerank 테스트
  </t>
  </si>
  <si>
    <t>1. 문서 내 오타 및 표현 방식 개선 방안 수립
2. 확장된 Prompt 축소 실험
   (프롬프트의 역할 및 행동을 유지하면서 프롬프트를 줄이는 방안 연구)</t>
  </si>
  <si>
    <t>1. RAG(검색)
- (1안) PC매뉴얼 -&gt; 각 이미지별 요약 설명 추가
- (2안) 예시 질문 -&gt; 핵심키워드 추출 -&gt; 키워드 메타 보강
- (3안) 예시 질문 데이터 증강 -&gt; 모델학습을 통한 질문-문서 분류기 적용</t>
  </si>
  <si>
    <t>1. 상담스크립트 Workflow 별도 분리 테스트</t>
  </si>
  <si>
    <t>1. LLM Judge
 - 핵심정보(맥락) 평가 -&gt; 핵심정보(맥락+키워드) 평가
2. 오답분석
 - 요약 태스크/오류유형별 분석
3. 키워드 추출
 - 프롬프트 기반 키워드 생성 -&gt; 현업 평가</t>
  </si>
  <si>
    <t>1. LLM Judge
2. 오답 분석
 - 지정 요약 태스크/오류유형별 분석
3. 키워드 추출
 - 프롬프트 개선: 현업 피드백 반영</t>
  </si>
  <si>
    <t xml:space="preserve">1. 개선작업 X
    - 민원/개선 추가 데이터 전달 받은 후(~2/6) 개선 작업 진행 예정
</t>
  </si>
  <si>
    <t>1. 민원/개선 데이터 추가하여 프롬프트 재검증 및 분석 (~2/12)</t>
  </si>
  <si>
    <t>0. LLM Judge 평가 실시
 - 660건 (~2/5)
1. LLM Judge 평가 데이터 분석 (오답/과답/누락)
 - 전체 중 일부 진행
2. 프롬프트 개선
 - 상담유형별 요약규칙 구체화 (~2/2)</t>
  </si>
  <si>
    <t>0. LLM Judge 평가 실시
 - 660건 (~2/12)
1. LLM Judge 평가 데이터 분석 (오답/과답/누락)
 - 전체 중 일부 진행
2. 프롬프트 개선
 - 오답유형 분석결과 반영 (~2/12)</t>
  </si>
  <si>
    <t>1. LLM Judge 평가 데이터 분석 (오답/과답/누락)
    - 전체 중 일부 진행
2. 과답 개선을 위한 강화 조건들 추가
   - 상담사발화 : 미포함 항목을 제약조건에 추가
   - 고객발화 : 미포함 항목을 제약조건에 추가
   - 전체고객발화: 프롬프트 구조 및 제약사항 수정</t>
  </si>
  <si>
    <t>1. LLM Judge 평가 데이터 분석 (오답/과답/누락)
    - "고객발화" Task 전체 분석 완료 예정 (~2/11)
    - "전체상담" Task 전체 분석 완료 예정 (~2/11) 
2. "고객발화" 프롬프트 개선 작업 진행 (~2/12)
    - 요약 기준강화
    - 퓨삿 보강 작업 
3. "전체상담" 프롬프트 개선 작업 진행 (~2/12)
    - 오답유형 분석결과 반영</t>
  </si>
  <si>
    <t>1. LLM Judge 평가 데이터 분석
2. 데이터
 - 민원 데이터 추가하여 프롬프트 재검증 및 개선 (현재 '민원' 유형 1건)</t>
  </si>
  <si>
    <t>0. LLM Judge 평가 실시
 - 불편사항, 개선요청사항 각 17건, 2회 (~2/5)
1. LLM Judge 평가 데이터 분석 (오답/과답/누락)
2. 프롬프트 개선
 - 프롬프트 구조 및 제약사항 수정 1회 (~2/2)</t>
  </si>
  <si>
    <t>0. LLM Judge 평가 실시
 - 불편사항, 개선요청사항 각 67건 (~2/12)
1. LLM Judge 평가 데이터 분석 (오답/과답/누락)
 - 전체 중 일부 진행
2. 프롬프트 개선
 - 오답유형 분석결과 반영 (~2/12)</t>
  </si>
  <si>
    <t>1. LLM Judge 평가 데이터 분석
2. 대분류 프롬프트 개선 작업: 분류별 문장 퓨샷 추가 -&gt; 키워드 퓨샷 추가 -&gt; 요약 내용 분류 추가
3. 대분류 유형 분석을 STT 기반과 요약 기반 데이터 테스트 
4. 대분류 상담내용요약 내용을 기반으로 sample 분석 진행</t>
  </si>
  <si>
    <t>1. 중,소분류 개선 작업(키워드+문장+최적화 버전으로 업그레이드 예정) 완료
2. 소분류_STT 요약 데이터 기반 테스트 완료
3. 중분류 프롬프트 개선 작업(top-3 뽑은 후 다시 토너먼트 판별) 완료
4. 대분류 프롬프트 구조를 후카츠 방식에서 XML 구조로 변경 후 테스트 완료
5. 대분류 57% 정확도 기준 오분류 샘플 분석 및 개선 방향 확인 진행 중
 ㄴ 개선 방향성대로 프롬프트에 보강 작업을 하였으나 적용 확률 50% 
6. 대분류 프롬프트 퓨샷 보강 작업 진행 중
7. 대분류 프롬프트 구조 변경 후 테스트(대/중/소 일괄 판단) 완료 
 ㄴ 문장간 충돌로 인해 판정 신뢰도 약화 
8. 대분류 : 60% 프롬프트 기반 top2, top3 테스트 진행 완료</t>
  </si>
  <si>
    <t xml:space="preserve">1. 소분류_STT 요약 데이터 기반 테스트 완료 - 76%
2. 중분류_STT 요약 데이터 기반 top-2 / top-3 테스트 완료 
 - top-2 : 60%
 - top-3: 65%
3. 중분류 top-2/top3 뽑은 후 토너먼트 판별 효과가 미비 - 40%
4. 대분류 xml 구조 변경 후 테스트 완료 - 57%
5. 대분류_STT 요약 데이터 기반 top2 - 68%
6. 대분류_STT 요약 데이터 기반_퓨샷 보강 및 호전환 우선순위 약화 - 60%
7. 대중소 일괄판단 구조로 프롬프트 변환 - 약 10% 전후
8. 대분류_STT 요약 데이터기반 top2 - 65% (약 5% 상승) /top 3 - 63%
</t>
  </si>
  <si>
    <t>요청 및 확인 사항</t>
  </si>
  <si>
    <r>
      <rPr>
        <sz val="9"/>
        <color rgb="FF000000"/>
        <rFont val="Malgun Gothic"/>
        <family val="3"/>
        <charset val="129"/>
      </rPr>
      <t xml:space="preserve">1.Knowledge base Hybrid 검색 방식 변경 테스트 (2차 약관, 상품매뉴얼 대상)
  - </t>
    </r>
    <r>
      <rPr>
        <sz val="9"/>
        <color rgb="FFFF0000"/>
        <rFont val="Malgun Gothic"/>
        <family val="3"/>
        <charset val="129"/>
      </rPr>
      <t>searchMode all/any</t>
    </r>
    <r>
      <rPr>
        <sz val="9"/>
        <color rgb="FF000000"/>
        <rFont val="Malgun Gothic"/>
        <family val="3"/>
        <charset val="129"/>
      </rPr>
      <t xml:space="preserve"> 관련 각 케이스별 테스트 수행
2. Rerank 시 Score의 급격한 하락 원인 분석 및 개선
   (qwen3 rerank 모델 기반)
3. 자동화 테스트를 위해 각 질문별 정답 Chunk_id 자동 수집 모듈 구현
   - 전체 케이스 Manually 검색 예정
   - 본문 내용 캐싱 후 Vector DB 변경시 캐시 기반으로 정답 Chunk_id 갱신 모듈 개발 </t>
    </r>
  </si>
  <si>
    <t>1. 보험 약어 등 용어집을 활용 Query Expansion 확장
2. 확장된 Prompt 축소 실험
   (프롬프트의 역할 및 행동을 유지하면서 프롬프트를 줄이는 방안 연구)</t>
  </si>
  <si>
    <t>1. 상담 스크립트 용 별도 Query Expansion 테스트
  - 질의 키워드와 대화 내용 간의 유사성 증대 방안 테스트</t>
  </si>
  <si>
    <t xml:space="preserve">1. 답변 생성 프롬프트 내 Hallucination 절감 위한 제약 조건 Prompt 테스트
  - 문서 검색율에 비해 잘못된 정보 발화율 높은 이유 연구 및 개선 작업
  - 업무 매뉴얼의 정보에 의해 오염되는 것으로 예측 </t>
  </si>
  <si>
    <t>1. 프롬프트
- 민원/개선 성능 개선 위한 프롬프트 개선
- 일반 유형 데이터가 과반수 (659건 중 641건)</t>
  </si>
  <si>
    <t>1. 데이터
- 민원/개선 데이터 추가하여 프롬프트 재검증 및 개선 (현재 '일반; 유형이 과반수)</t>
  </si>
  <si>
    <t>1. (공통) 신규 프롬프트 정량 재검증
- 한국어 기반의 새로운 프롬프트 구조 적용
- 요약 상세 기준 적용
2. (공통) 과답 케이스 분석 후 프롬프트 제어 추가
- 고객 또는 상담사 발화의 경우 다른 발화자의 내용 제거
- 개인정보 포함 금지
3. (공통) 형식 제어 추가
- 하이픈이나 : 형식을 제거하고 자연스러운 줄글 형태
4. (공통) temperature 옵션 0.2 -&gt; 0 으로 변경
5. 고객발화 프롬프트
- 고객발화 요약 AI -&gt; 고객 문의 의도 추출 AI
- 상담 주체 파악 후 이름 대신 치환
- 문의 목적 파악
6. 상담사발화 프롬프트
- 대화 분석 AI -&gt; 상담사 업무 처리 및 안내 내용 기록 AI
- 보안 준수 사항으로 데이터 파쇄 대상 생성</t>
  </si>
  <si>
    <t>1. LLM Judge 평가 데이터 분석
2. 과답 개선을 위한 강화 조건들 추가
3. 출력 검증 단계 추가
4. 상담 제목 생성방법에 대한 기준 정립</t>
  </si>
  <si>
    <t>1. 프롬프트
- 민원 내용만 답변하도록 프롬프트 제어
- 민원 유형 1건으로 데이터 부족</t>
  </si>
  <si>
    <t>1. 데이터
- 민원 데이터 추가하여 프롬프트 재검증 및 개선 (현재 '민원' 유형 1건)</t>
  </si>
  <si>
    <t>1. 프롬프트
- 영문에서 한글로 변경, 기본 한국어 프롬프트 기반 작성
- 개선 유형 17건으로 데이터 부족</t>
  </si>
  <si>
    <t>1. 데이터
- 개선 데이터 추가하여 프롬프트 재검증 및 개선 (현재 '개선' 유형 17건)</t>
  </si>
  <si>
    <r>
      <rPr>
        <sz val="9"/>
        <color rgb="FF000000"/>
        <rFont val="Malgun Gothic"/>
        <family val="3"/>
        <charset val="129"/>
      </rPr>
      <t xml:space="preserve">1. LLM
1.1 대/중/소 프롬프트 고도화
- 프롬프트 엔지니어링은 기본적으로 '후카츠(롤 정의, 지시사항, 제약 조건, 입,출력 방식) + CoT ' 엔지니어링 기법을 기본으로함.
1.2 대분류 프롬프트 (v2 -&gt; v9 고도화 )
[v9 고도화된 프롬프트 ]
역할 정의 -&gt; STT 데이터 정제 단계 -&gt; 최우선 분류 필터 -&gt; 지시 사항(의도 기반 분류) -&gt; 자가 검증 시스템 -&gt; 출력 형식 -&gt; 대분류 타입 흐름으로 진행 
1) 데이터 정제 단계 : STT 데이터 특유의 노이즈를 제거하여 분석 정확도를 높이는 전처리 단계 
 -오타 및 띄어쓰기 보정 
 -지시어 해독
 -화자 분석 
2) 최우선 분류 필터 : 호전환 판단 
 - 대화 중 해약이나 민원 언급이 있었더라도, 최종적으로는 담당자 콜백이나 부서 연결로 종료가 되었다면 이를 호전환으로 판단 
3) 의도 기반 분류 
 - 고객의 발화 형식에 따라 단순문의와 실행 요청을 구분하는 깔대기 구조 
 - 일반 상담은 정보 확인, 방법 문의, 단순 질의 등 ~인가요? 등의 뉘앙스
 - 특정 업무는 전산 변경, 송금 발생, 서비스 신청 등 ~해주세요등의 뉘앙스
4) 자가 검증 시스템 
 - 최종 결과 재검수 
 - 표준 카테고리 매칭
</t>
    </r>
    <r>
      <rPr>
        <b/>
        <sz val="9"/>
        <color rgb="FF000000"/>
        <rFont val="Malgun Gothic"/>
        <family val="3"/>
        <charset val="129"/>
      </rPr>
      <t xml:space="preserve">[0130 기준 : 51% 정확도 -&gt; 데이터 분석 결과]
</t>
    </r>
    <r>
      <rPr>
        <sz val="9"/>
        <color rgb="FF000000"/>
        <rFont val="Malgun Gothic"/>
        <family val="3"/>
        <charset val="129"/>
      </rPr>
      <t>-총 FALSE : 323건 
1. MP 문의 : 2건 / 헬스케어 서비스 이용 안내, 계약 변경으로 구분
2. MP 민원: 1건 / 호전환으로 구분
3.RTB  : 2건 / 보험료 납입, 자동부활로 구분
4. S_080_기타 : 4건 / 호전환으로 구분 
5. S_해약방어: 6건 / 계약변경과 제지급요청으로 구분 
6. VOC : 1건 / 호전환으로 구분
7. 계약변경 : 3건 / 변경관련으로 구분 
8. 기타문의 : 15건 / 호전환 , AIA+ 앱 관련, 해피콜, 변경관련으로 구분
9. 변경관련: 34건 / 계약변경, 호전환 , 증명서 발행으로 구분 
10. 보험금청구상담: 19건 / 일반상담, 호전환, 신청서 발송, 제지급요청으로 구분 
11. 보험료 납입 : 5건 / 가상계좌입금안내, 대출 상환으로 구분
12. 신청서 발송 : 3건 / 보험금청구상담, 계약변경으로 구분
13. 앱 오류 문의 : 1건 / 보험금청구상담
14. 일반상담: 183건 / 호전환, 증명서발행, 보험금청구상담 등으로 구분
15. 자동부활 : 3건 / 보험료 납입으로 구분
16. 장애인상담: 1건 / 호전환으로 구분
17. 제지급요청: 13건 : 호전환/보험금청구상담/ 대출상환/ 계약변경/ 보험계약 대출 문의로 구분 
18. 증명서 발행 : 5건 / 일반상담, 신청서발송, 제지급요청, 변경관련으로 구분 
19. 해피콜: 1건 / 호전환으로 구분
20. 호전환: 21건 / 보험금청구상담, 제지급요청으로 구분 
-일반상담, 호전환, 변경관련, 보험금청구상담에서 FALSE가 많이 일어나고 있음. 
-FALSE 비율 중 일반상담(183건)은 50%
-일반상담, 호전환 , 변경관련과 계약변경 사이 분류 등 분류 기준 튜닝이 필요한 상황 
1.2 중분류 프롬프트(v2 -&gt; v5 고도화)
역할 정의 -&gt; STT 데이터 정제 단계 -&gt; 지시 사항 -&gt; 자가 검증 시스템 -&gt; 출력 형식 -&gt; 대분류 타입 흐름으로 진행 
기본적으로 대분류 프롬프트의 역할 정의/STT 데이터 정제 단계 / 출력 형식은 거의 동일하게 진행하며, 지시사항과 자가 검증 시스템은 중분류에 맞게 커스텀
분류지침은 고객의 요청보다 상담원 처리에 우선순위를 두는 전략
검증은 카테고리 유효성, 실행 기반 정합성, 핵심 우선순위 적용 등을 재검증 
- 소분류 프롬프트(v2 -&gt; v3 고도화)
2. 2차 테스트 및 피드백 확인</t>
    </r>
  </si>
  <si>
    <t>도메인/RAG/LLM</t>
    <phoneticPr fontId="2" type="noConversion"/>
  </si>
  <si>
    <t>각각 어떤 개선작업을 해서 향상을 시켰나</t>
    <phoneticPr fontId="2" type="noConversion"/>
  </si>
  <si>
    <t>1. Knowlegde base Hybrid 검색 방식 변경 테스트
  - 복수의 검색 키워드 토큰 가중치 변경 (searchMode: all)
2. Multi-step Reasoning 테스트 
  - Vector Chunk 추출 후 답변과 연관된 키워드를 먼저 추출하여 Chunk와 답변간 Anchoring
3. Hybrid 검색용 Keyword Extraction Step 추가 테스트
  - 질의로부터 검색을 위한 키워드 추출 후 Hybrid 검색하도록 변경 테스트
4. BGE-reranker-v2-m3 모델 성능 테스트
  - (업무매뉴얼 704건 기준) Top40-&gt;5 : 92.05%</t>
  </si>
  <si>
    <t xml:space="preserve">1.Knowledge base Hybrid 검색 방식 변경 테스트 (2차 약관, 상품매뉴얼 대상)
  - searchMode all/any 관련 각 케이스별 테스트 수행
2. Rerank 시 Score의 급격한 하락 원인 분석 및 개선
   (qwen3 rerank 모델 기반)
3. 자동화 테스트를 위해 각 질문별 정답 Chunk_id 자동 수집 모듈 구현
   - 전체 케이스 Manually 검색 예정
   - 본문 내용 캐싱 후 Vector DB 변경시 캐시 기반으로 정답 Chunk_id 갱신 모듈 개발 </t>
  </si>
  <si>
    <t>1. 프롬프트 공통  Rule Few-shot 학습
  - 키워드 경계 정보 제공 테스트 (LLM이 유사하다 인식하지만 실제 다른 항목 Fewshot)
2. Context 정보 추출 Instruction Prompting
  - 업무 매뉴얼 내 예외/제외 조건 필수 포함 지시 (예: 단, 반드시, 예외, 만 해당 등)
3. 답변 예시 Few-shot 학습
  - 다빈도 패턴 질문에 대해 좋은 답변/나쁜 답변 제시 테스트
4. 질의 유형 In-prompt Soft routing 테스트
  - 프롬프트 내에서 질의 유형 분류 후 답변 유도 테스트
5. 질병 분류 정보 Anchoring 테스트
  - 질별 정보에 대한 정의 질문 시 반드시 연결해야 하는 Chunk 지정</t>
  </si>
  <si>
    <t>1. 지식 베이스 간 정보 혼선 여부 기본 테스트
  - 답변 수행시 다른 지식 베이스(예: 업무매뉴얼)의 Chunk에 의한 답변 실패 영향도 분석</t>
  </si>
  <si>
    <t>1. 데이터 기본 분석 수행
  - Chunk 내 데이터에 대한 기본 분석</t>
  </si>
  <si>
    <t>1. 상품간 약관 정보 유사도 분석</t>
  </si>
  <si>
    <t>1. LLM
- 멀티턴 개수 확정</t>
  </si>
  <si>
    <t>멀티턴 학습 질답세트 제공 요청</t>
  </si>
  <si>
    <t>1. Workflow 세부 개발 진행 
2. 현재 프롬프트 구조 정합성 점검
3. 확장성을 고려한 프롬프트 구조 고도화 진행</t>
  </si>
  <si>
    <t>1. LLM
- 전달받은 상담 기준을 프롬프트에 반영</t>
  </si>
  <si>
    <t>1. Ragas 기반 1차 정량 테스트 및 베이스라인 수립
2. 프롬프트 템플릿 구조 개편 및 언어 변경 
3. 상세 상담요약 정의 및 기준 반영</t>
  </si>
  <si>
    <t xml:space="preserve">1. 신규 프롬프트 정량 재검증
2. 과답 케이스 분석 후 프롬프트 제어 추가
</t>
  </si>
  <si>
    <t xml:space="preserve">1. LLM
- 요약 대/중/소 1차 프롬프트 구성
- 1차 테스트 기반으로 2차 프롬프트 구성 중
2. Dify 테스트 환경 구축 
3. 1차 테스트 완료 </t>
  </si>
  <si>
    <t>1. LLM
- 요약 대/중/소 2차 프롬프트 구성 
2. 2차 테스트 및 피드백 확인</t>
  </si>
  <si>
    <t>요청 사항</t>
  </si>
  <si>
    <t>답변 수용도</t>
  </si>
  <si>
    <t>1. Top-30 리랭킹 적용
   Top-30 검색 -&gt; 리랭킹 -&gt; Top-5 추출 (모델: gte-multilingual-reranker-base)
2. 하이브리드 검색
- 키워드 조건 : 원문, 핵심키워드, 도메인(선택)
- 벡터 조건 : 원문, 요약(문서명)
3. RAGAS 평가 방식 적용 및 1차 테스트 
4. RAGAS 신뢰도 평가 JUDGE 프롬프트 구축 및 테스트</t>
  </si>
  <si>
    <t>1. Knowlegde base Hybrid 검색 방식 변경 테스트
  - 복수의 검색 키워드 토큰 가중치 변경 (searchMode: all)
2. Multi-step Reasoning 테스트 
  - Vector Chunk 추출 후 답변과 연관된 키워드를 먼저 추출하여 Chunk와 답변간 Anchoring
3. Hybrid 검색용 Keyword Extraction Step 추가 테스트
  - 질의로부터 검색을 위한 키워드 추출 후 Hybrid 검색하도록 변경 테스트</t>
  </si>
  <si>
    <t>1. 도메인
    1) 도메인 확장: '상품' 카테고리 정의 및 분류를 위한 키워드 추가
    2) 과다 추출을 제한하는 instruction 추가 
    3) 출력 형식을 강제하는 instruction 추가</t>
  </si>
  <si>
    <t>1. LLM
- 요약 분류기 적용 (프롬프트)</t>
  </si>
  <si>
    <t>파트</t>
  </si>
  <si>
    <t>전주 지표</t>
  </si>
  <si>
    <t>금주 지표</t>
  </si>
  <si>
    <t>차주 개선 활동</t>
  </si>
  <si>
    <t>목표</t>
  </si>
  <si>
    <t>데이터
전처리</t>
    <phoneticPr fontId="2" type="noConversion"/>
  </si>
  <si>
    <t>벡터 필드</t>
  </si>
  <si>
    <r>
      <t>•</t>
    </r>
    <r>
      <rPr>
        <sz val="10"/>
        <rFont val="맑은 고딕"/>
        <family val="2"/>
        <charset val="129"/>
      </rPr>
      <t xml:space="preserve"> </t>
    </r>
    <r>
      <rPr>
        <sz val="10"/>
        <color rgb="FF303D48"/>
        <rFont val="맑은 고딕"/>
        <family val="3"/>
        <charset val="129"/>
      </rPr>
      <t>(업무매뉴얼) 요약 + 문서명 메타 추가</t>
    </r>
    <phoneticPr fontId="2" type="noConversion"/>
  </si>
  <si>
    <t>키워드 필드</t>
  </si>
  <si>
    <r>
      <t>•</t>
    </r>
    <r>
      <rPr>
        <sz val="10"/>
        <rFont val="맑은 고딕"/>
        <family val="2"/>
        <charset val="129"/>
      </rPr>
      <t xml:space="preserve"> </t>
    </r>
    <r>
      <rPr>
        <sz val="10"/>
        <color rgb="FF303D48"/>
        <rFont val="맑은 고딕"/>
        <family val="3"/>
        <charset val="129"/>
      </rPr>
      <t>핵심키워드 추출 프롬프트 개선</t>
    </r>
    <r>
      <rPr>
        <sz val="10"/>
        <rFont val="Arial"/>
        <family val="2"/>
      </rPr>
      <t xml:space="preserve">
•</t>
    </r>
    <r>
      <rPr>
        <sz val="10"/>
        <rFont val="맑은 고딕"/>
        <family val="2"/>
        <charset val="129"/>
      </rPr>
      <t xml:space="preserve"> (업무매뉴얼) 핵심키워드 필드 값 변경</t>
    </r>
    <phoneticPr fontId="2" type="noConversion"/>
  </si>
  <si>
    <t>도메인
분류</t>
    <phoneticPr fontId="2" type="noConversion"/>
  </si>
  <si>
    <t>도메인 분류</t>
  </si>
  <si>
    <t>73.7%
(511/693)</t>
    <phoneticPr fontId="2" type="noConversion"/>
  </si>
  <si>
    <t>82.7%
(575/695)</t>
  </si>
  <si>
    <r>
      <t>•</t>
    </r>
    <r>
      <rPr>
        <sz val="10"/>
        <rFont val="맑은 고딕"/>
        <family val="2"/>
        <charset val="129"/>
      </rPr>
      <t xml:space="preserve"> </t>
    </r>
    <r>
      <rPr>
        <sz val="10"/>
        <color rgb="FF303D48"/>
        <rFont val="맑은 고딕"/>
        <family val="3"/>
        <charset val="129"/>
      </rPr>
      <t>21개 도메인 시스템 프롬프트 개선
  (설명/분류요건/연관 키워드 등)</t>
    </r>
    <phoneticPr fontId="2" type="noConversion"/>
  </si>
  <si>
    <r>
      <t>•</t>
    </r>
    <r>
      <rPr>
        <sz val="10"/>
        <rFont val="맑은 고딕"/>
        <family val="2"/>
        <charset val="129"/>
      </rPr>
      <t xml:space="preserve"> </t>
    </r>
    <r>
      <rPr>
        <sz val="10"/>
        <color rgb="FF303D48"/>
        <rFont val="맑은 고딕"/>
        <family val="3"/>
        <charset val="129"/>
      </rPr>
      <t>개선된 프롬프트 적용</t>
    </r>
    <phoneticPr fontId="2" type="noConversion"/>
  </si>
  <si>
    <t>검색
품질</t>
    <phoneticPr fontId="2" type="noConversion"/>
  </si>
  <si>
    <t>단일 벡터 검색</t>
    <phoneticPr fontId="2" type="noConversion"/>
  </si>
  <si>
    <t>83.8%
(583/696)</t>
    <phoneticPr fontId="2" type="noConversion"/>
  </si>
  <si>
    <r>
      <t>•</t>
    </r>
    <r>
      <rPr>
        <sz val="10"/>
        <rFont val="맑은 고딕"/>
        <family val="2"/>
        <charset val="129"/>
      </rPr>
      <t xml:space="preserve"> </t>
    </r>
    <r>
      <rPr>
        <sz val="10"/>
        <color rgb="FF303D48"/>
        <rFont val="맑은 고딕"/>
        <family val="3"/>
        <charset val="129"/>
      </rPr>
      <t>벡터 조건 : 원문</t>
    </r>
    <r>
      <rPr>
        <sz val="10"/>
        <rFont val="Arial"/>
        <family val="2"/>
      </rPr>
      <t xml:space="preserve">
</t>
    </r>
    <phoneticPr fontId="2" type="noConversion"/>
  </si>
  <si>
    <t>멀티 벡터</t>
  </si>
  <si>
    <r>
      <rPr>
        <sz val="10"/>
        <color rgb="FF000000"/>
        <rFont val="Arial"/>
        <family val="2"/>
      </rPr>
      <t>•</t>
    </r>
    <r>
      <rPr>
        <sz val="10"/>
        <color rgb="FF000000"/>
        <rFont val="맑은 고딕"/>
        <family val="3"/>
        <charset val="129"/>
      </rPr>
      <t xml:space="preserve"> </t>
    </r>
    <r>
      <rPr>
        <sz val="10"/>
        <color rgb="FF303D48"/>
        <rFont val="맑은 고딕"/>
        <family val="3"/>
        <charset val="129"/>
      </rPr>
      <t>벡터 조건 : 원문, 요약, 문서명</t>
    </r>
  </si>
  <si>
    <t>검색</t>
  </si>
  <si>
    <t>(574/696)</t>
  </si>
  <si>
    <t>키워드 검색</t>
    <phoneticPr fontId="2" type="noConversion"/>
  </si>
  <si>
    <r>
      <t>•</t>
    </r>
    <r>
      <rPr>
        <sz val="10"/>
        <rFont val="맑은 고딕"/>
        <family val="2"/>
        <charset val="129"/>
      </rPr>
      <t xml:space="preserve"> </t>
    </r>
    <r>
      <rPr>
        <sz val="10"/>
        <color rgb="FF303D48"/>
        <rFont val="맑은 고딕"/>
        <family val="3"/>
        <charset val="129"/>
      </rPr>
      <t>키워드 조건 : 원문, 핵심키워드, 도메인</t>
    </r>
    <phoneticPr fontId="2" type="noConversion"/>
  </si>
  <si>
    <t>하이브리드 검색</t>
    <phoneticPr fontId="2" type="noConversion"/>
  </si>
  <si>
    <r>
      <rPr>
        <sz val="10"/>
        <color rgb="FF000000"/>
        <rFont val="Arial"/>
        <family val="2"/>
      </rPr>
      <t>•</t>
    </r>
    <r>
      <rPr>
        <sz val="10"/>
        <color rgb="FF000000"/>
        <rFont val="맑은 고딕"/>
        <family val="3"/>
        <charset val="129"/>
      </rPr>
      <t xml:space="preserve"> </t>
    </r>
    <r>
      <rPr>
        <sz val="10"/>
        <color rgb="FF303D48"/>
        <rFont val="맑은 고딕"/>
        <family val="3"/>
        <charset val="129"/>
      </rPr>
      <t>키워드 조건 : 원문, 핵심키워드, 도메인
• 벡터 조건 : 원문, 요약, 문서명</t>
    </r>
  </si>
  <si>
    <t>리랭커</t>
  </si>
  <si>
    <t>88.4%
(614/695)</t>
    <phoneticPr fontId="2" type="noConversion"/>
  </si>
  <si>
    <r>
      <rPr>
        <sz val="10"/>
        <color rgb="FF000000"/>
        <rFont val="Arial"/>
        <family val="2"/>
      </rPr>
      <t>•</t>
    </r>
    <r>
      <rPr>
        <sz val="10"/>
        <color rgb="FF000000"/>
        <rFont val="맑은 고딕"/>
        <family val="3"/>
        <charset val="129"/>
      </rPr>
      <t xml:space="preserve"> </t>
    </r>
    <r>
      <rPr>
        <sz val="10"/>
        <color rgb="FF303D48"/>
        <rFont val="맑은 고딕"/>
        <family val="3"/>
        <charset val="129"/>
      </rPr>
      <t>Top-30 검색 -&gt; 리랭킹 -&gt; Top-5 추출
  (모델: TSS 리랭커)</t>
    </r>
  </si>
  <si>
    <r>
      <t>•</t>
    </r>
    <r>
      <rPr>
        <sz val="10"/>
        <rFont val="맑은 고딕"/>
        <family val="2"/>
        <charset val="129"/>
      </rPr>
      <t xml:space="preserve"> </t>
    </r>
    <r>
      <rPr>
        <sz val="10"/>
        <color rgb="FF303D48"/>
        <rFont val="Arial"/>
        <family val="3"/>
      </rPr>
      <t xml:space="preserve">Qwen3-reranker </t>
    </r>
    <r>
      <rPr>
        <sz val="10"/>
        <color rgb="FF303D48"/>
        <rFont val="맑은 고딕"/>
        <family val="3"/>
        <charset val="129"/>
      </rPr>
      <t>리랭커</t>
    </r>
    <r>
      <rPr>
        <sz val="10"/>
        <color rgb="FF303D48"/>
        <rFont val="Arial"/>
        <family val="3"/>
      </rPr>
      <t xml:space="preserve"> </t>
    </r>
    <r>
      <rPr>
        <sz val="10"/>
        <color rgb="FF303D48"/>
        <rFont val="맑은 고딕"/>
        <family val="3"/>
        <charset val="129"/>
      </rPr>
      <t>모델</t>
    </r>
    <r>
      <rPr>
        <sz val="10"/>
        <rFont val="Arial"/>
        <family val="2"/>
      </rPr>
      <t xml:space="preserve">
  -&gt; </t>
    </r>
    <r>
      <rPr>
        <sz val="10"/>
        <rFont val="맑은 고딕"/>
        <family val="2"/>
        <charset val="129"/>
      </rPr>
      <t>리랭킹</t>
    </r>
    <r>
      <rPr>
        <sz val="10"/>
        <rFont val="Arial"/>
        <family val="2"/>
      </rPr>
      <t xml:space="preserve"> </t>
    </r>
    <r>
      <rPr>
        <sz val="10"/>
        <rFont val="맑은 고딕"/>
        <family val="2"/>
        <charset val="129"/>
      </rPr>
      <t>테스트</t>
    </r>
    <r>
      <rPr>
        <sz val="10"/>
        <rFont val="Arial"/>
        <family val="2"/>
      </rPr>
      <t xml:space="preserve"> </t>
    </r>
    <r>
      <rPr>
        <sz val="10"/>
        <rFont val="맑은 고딕"/>
        <family val="2"/>
        <charset val="129"/>
      </rPr>
      <t>진행</t>
    </r>
    <r>
      <rPr>
        <sz val="10"/>
        <rFont val="Arial"/>
        <family val="2"/>
      </rPr>
      <t xml:space="preserve"> </t>
    </r>
    <r>
      <rPr>
        <sz val="10"/>
        <rFont val="맑은 고딕"/>
        <family val="2"/>
        <charset val="129"/>
      </rPr>
      <t>예정</t>
    </r>
    <r>
      <rPr>
        <sz val="10"/>
        <rFont val="Arial"/>
        <family val="2"/>
      </rPr>
      <t xml:space="preserve">
•</t>
    </r>
    <r>
      <rPr>
        <sz val="10"/>
        <rFont val="맑은 고딕"/>
        <family val="2"/>
        <charset val="129"/>
      </rPr>
      <t xml:space="preserve"> </t>
    </r>
    <r>
      <rPr>
        <sz val="10"/>
        <rFont val="Arial"/>
        <family val="2"/>
      </rPr>
      <t>PC</t>
    </r>
    <r>
      <rPr>
        <sz val="10"/>
        <rFont val="맑은 고딕"/>
        <family val="2"/>
        <charset val="129"/>
      </rPr>
      <t>매뉴얼</t>
    </r>
    <r>
      <rPr>
        <sz val="10"/>
        <rFont val="Arial"/>
        <family val="2"/>
      </rPr>
      <t>/</t>
    </r>
    <r>
      <rPr>
        <sz val="10"/>
        <rFont val="맑은 고딕"/>
        <family val="2"/>
        <charset val="129"/>
      </rPr>
      <t>상담스크립트</t>
    </r>
    <r>
      <rPr>
        <sz val="10"/>
        <rFont val="Arial"/>
        <family val="2"/>
      </rPr>
      <t>/</t>
    </r>
    <r>
      <rPr>
        <sz val="10"/>
        <rFont val="맑은 고딕"/>
        <family val="2"/>
        <charset val="129"/>
      </rPr>
      <t>상품매뉴얼</t>
    </r>
    <r>
      <rPr>
        <sz val="10"/>
        <rFont val="Arial"/>
        <family val="2"/>
      </rPr>
      <t xml:space="preserve"> baseline </t>
    </r>
    <r>
      <rPr>
        <sz val="10"/>
        <rFont val="맑은 고딕"/>
        <family val="2"/>
        <charset val="129"/>
      </rPr>
      <t>설정</t>
    </r>
    <phoneticPr fontId="2" type="noConversion"/>
  </si>
  <si>
    <t>근거 기반 답변</t>
  </si>
  <si>
    <t>답변 적합성</t>
  </si>
  <si>
    <t>품질 평가 체계</t>
  </si>
  <si>
    <r>
      <t xml:space="preserve">• </t>
    </r>
    <r>
      <rPr>
        <sz val="10"/>
        <color rgb="FF303D48"/>
        <rFont val="Arial"/>
        <family val="3"/>
      </rPr>
      <t xml:space="preserve">RAGAS </t>
    </r>
    <r>
      <rPr>
        <sz val="10"/>
        <color rgb="FF303D48"/>
        <rFont val="맑은 고딕"/>
        <family val="3"/>
        <charset val="129"/>
      </rPr>
      <t>프레임워크</t>
    </r>
    <r>
      <rPr>
        <sz val="10"/>
        <color rgb="FF303D48"/>
        <rFont val="Arial"/>
        <family val="3"/>
      </rPr>
      <t xml:space="preserve"> </t>
    </r>
    <r>
      <rPr>
        <sz val="10"/>
        <color rgb="FF303D48"/>
        <rFont val="맑은 고딕"/>
        <family val="3"/>
        <charset val="129"/>
      </rPr>
      <t>설치</t>
    </r>
    <r>
      <rPr>
        <sz val="10"/>
        <rFont val="Arial"/>
        <family val="2"/>
      </rPr>
      <t xml:space="preserve">
  -&gt; 4</t>
    </r>
    <r>
      <rPr>
        <sz val="10"/>
        <rFont val="맑은 고딕"/>
        <family val="2"/>
        <charset val="129"/>
      </rPr>
      <t>가지</t>
    </r>
    <r>
      <rPr>
        <sz val="10"/>
        <rFont val="Arial"/>
        <family val="2"/>
      </rPr>
      <t xml:space="preserve"> </t>
    </r>
    <r>
      <rPr>
        <sz val="10"/>
        <rFont val="맑은 고딕"/>
        <family val="2"/>
        <charset val="129"/>
      </rPr>
      <t>지표</t>
    </r>
    <r>
      <rPr>
        <sz val="10"/>
        <rFont val="Arial"/>
        <family val="2"/>
      </rPr>
      <t xml:space="preserve"> </t>
    </r>
    <r>
      <rPr>
        <sz val="10"/>
        <rFont val="맑은 고딕"/>
        <family val="2"/>
        <charset val="129"/>
      </rPr>
      <t>평가</t>
    </r>
    <r>
      <rPr>
        <sz val="10"/>
        <rFont val="Arial"/>
        <family val="2"/>
      </rPr>
      <t xml:space="preserve"> </t>
    </r>
    <r>
      <rPr>
        <sz val="10"/>
        <rFont val="맑은 고딕"/>
        <family val="2"/>
        <charset val="129"/>
      </rPr>
      <t>테스트</t>
    </r>
    <r>
      <rPr>
        <sz val="10"/>
        <rFont val="Arial"/>
        <family val="2"/>
      </rPr>
      <t xml:space="preserve">
  -&gt; 1</t>
    </r>
    <r>
      <rPr>
        <sz val="10"/>
        <rFont val="맑은 고딕"/>
        <family val="2"/>
        <charset val="129"/>
      </rPr>
      <t>차</t>
    </r>
    <r>
      <rPr>
        <sz val="10"/>
        <rFont val="Arial"/>
        <family val="2"/>
      </rPr>
      <t xml:space="preserve"> </t>
    </r>
    <r>
      <rPr>
        <sz val="10"/>
        <rFont val="맑은 고딕"/>
        <family val="2"/>
        <charset val="129"/>
      </rPr>
      <t>테스트</t>
    </r>
    <r>
      <rPr>
        <sz val="10"/>
        <rFont val="Arial"/>
        <family val="2"/>
      </rPr>
      <t xml:space="preserve"> 14</t>
    </r>
    <r>
      <rPr>
        <sz val="10"/>
        <rFont val="맑은 고딕"/>
        <family val="2"/>
        <charset val="129"/>
      </rPr>
      <t>시간</t>
    </r>
    <r>
      <rPr>
        <sz val="10"/>
        <rFont val="Arial"/>
        <family val="2"/>
      </rPr>
      <t xml:space="preserve"> </t>
    </r>
    <r>
      <rPr>
        <sz val="10"/>
        <rFont val="맑은 고딕"/>
        <family val="2"/>
        <charset val="129"/>
      </rPr>
      <t>소요</t>
    </r>
    <phoneticPr fontId="2" type="noConversion"/>
  </si>
  <si>
    <r>
      <t>•</t>
    </r>
    <r>
      <rPr>
        <sz val="10"/>
        <rFont val="맑은 고딕"/>
        <family val="2"/>
        <charset val="129"/>
      </rPr>
      <t xml:space="preserve"> </t>
    </r>
    <r>
      <rPr>
        <sz val="10"/>
        <color rgb="FF303D48"/>
        <rFont val="맑은 고딕"/>
        <family val="3"/>
        <charset val="129"/>
      </rPr>
      <t>RAGAS 스코어 해석 방법론 구축</t>
    </r>
    <r>
      <rPr>
        <sz val="10"/>
        <rFont val="Arial"/>
        <family val="2"/>
      </rPr>
      <t xml:space="preserve">
•</t>
    </r>
    <r>
      <rPr>
        <sz val="10"/>
        <rFont val="맑은 고딕"/>
        <family val="2"/>
        <charset val="129"/>
      </rPr>
      <t xml:space="preserve"> 멀티턴 답변 품질평가 및 프롬프트 고도화</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</si>
</sst>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mm&quot;월&quot;\ dd&quot;일&quot;"/>
  </numFmts>
  <fonts count="65">
    <font>
      <sz val="11"/>
      <color theme="1"/>
      <name val="맑은 고딕"/>
      <family val="2"/>
      <scheme val="minor"/>
    </font>
    <font>
      <b/>
      <sz val="10"/>
      <color rgb="FF303D48"/>
      <name val="맑은 고딕"/>
      <family val="3"/>
      <charset val="129"/>
    </font>
    <font>
      <sz val="8"/>
      <name val="맑은 고딕"/>
      <family val="3"/>
      <charset val="129"/>
      <scheme val="minor"/>
    </font>
    <font>
      <b/>
      <sz val="10"/>
      <color rgb="FFFFFFFF"/>
      <name val="맑은 고딕"/>
      <family val="3"/>
      <charset val="129"/>
    </font>
    <font>
      <sz val="10"/>
      <name val="Arial"/>
      <family val="2"/>
    </font>
    <font>
      <sz val="10"/>
      <color rgb="FF303D48"/>
      <name val="맑은 고딕"/>
      <family val="3"/>
      <charset val="129"/>
    </font>
    <font>
      <sz val="10"/>
      <name val="맑은 고딕"/>
      <family val="2"/>
      <charset val="129"/>
    </font>
    <font>
      <sz val="10"/>
      <color rgb="FF303D48"/>
      <name val="Arial"/>
      <family val="3"/>
    </font>
    <font>
      <sz val="11"/>
      <color rgb="FFFF0000"/>
      <name val="맑은 고딕"/>
      <family val="2"/>
      <scheme val="minor"/>
    </font>
    <font>
      <sz val="11"/>
      <name val="돋움"/>
      <family val="3"/>
      <charset val="129"/>
    </font>
    <font>
      <sz val="9"/>
      <color theme="1"/>
      <name val="맑은 고딕"/>
      <family val="2"/>
      <scheme val="minor"/>
    </font>
    <font>
      <sz val="9"/>
      <color theme="1" tint="0.14999847407452621"/>
      <name val="맑은 고딕"/>
      <family val="3"/>
      <charset val="129"/>
      <scheme val="minor"/>
    </font>
    <font>
      <b/>
      <sz val="9"/>
      <color theme="1"/>
      <name val="맑은 고딕"/>
      <family val="2"/>
      <scheme val="minor"/>
    </font>
    <font>
      <sz val="10"/>
      <color theme="1"/>
      <name val="맑은 고딕"/>
      <family val="3"/>
      <charset val="129"/>
    </font>
    <font>
      <sz val="10"/>
      <color theme="1"/>
      <name val="맑은 고딕"/>
      <family val="3"/>
      <charset val="129"/>
      <scheme val="minor"/>
    </font>
    <font>
      <u/>
      <sz val="11"/>
      <color theme="10"/>
      <name val="맑은 고딕"/>
      <family val="2"/>
      <scheme val="minor"/>
    </font>
    <font>
      <sz val="10"/>
      <color rgb="FF000000"/>
      <name val="Arial"/>
      <family val="2"/>
    </font>
    <font>
      <sz val="10"/>
      <color rgb="FF000000"/>
      <name val="맑은 고딕"/>
      <family val="3"/>
      <charset val="129"/>
    </font>
    <font>
      <sz val="9"/>
      <color rgb="FF000000"/>
      <name val="맑은 고딕"/>
      <family val="3"/>
      <charset val="129"/>
      <scheme val="minor"/>
    </font>
    <font>
      <u/>
      <sz val="9"/>
      <color rgb="FF000000"/>
      <name val="맑은 고딕"/>
      <family val="2"/>
      <scheme val="minor"/>
    </font>
    <font>
      <sz val="9"/>
      <color rgb="FF000000"/>
      <name val="맑은 고딕"/>
      <family val="2"/>
      <scheme val="minor"/>
    </font>
    <font>
      <sz val="9"/>
      <color rgb="FF000000"/>
      <name val="Malgun Gothic"/>
      <family val="3"/>
      <charset val="129"/>
    </font>
    <font>
      <b/>
      <sz val="10"/>
      <color theme="1"/>
      <name val="맑은 고딕"/>
      <family val="2"/>
      <scheme val="minor"/>
    </font>
    <font>
      <sz val="9"/>
      <name val="Malgun Gothic"/>
      <family val="3"/>
      <charset val="129"/>
    </font>
    <font>
      <sz val="9"/>
      <color theme="1"/>
      <name val="Malgun Gothic"/>
      <family val="3"/>
      <charset val="129"/>
    </font>
    <font>
      <b/>
      <sz val="10"/>
      <color theme="1"/>
      <name val="맑은 고딕"/>
      <family val="3"/>
      <charset val="129"/>
    </font>
    <font>
      <u/>
      <sz val="9"/>
      <color theme="10"/>
      <name val="맑은 고딕"/>
      <family val="2"/>
      <scheme val="minor"/>
    </font>
    <font>
      <b/>
      <sz val="9"/>
      <color rgb="FF0070C0"/>
      <name val="맑은 고딕"/>
      <family val="2"/>
      <scheme val="minor"/>
    </font>
    <font>
      <sz val="10"/>
      <color theme="1" tint="0.14999847407452621"/>
      <name val="맑은 고딕"/>
      <family val="3"/>
      <charset val="129"/>
      <scheme val="minor"/>
    </font>
    <font>
      <u/>
      <sz val="10"/>
      <color rgb="FF000000"/>
      <name val="맑은 고딕"/>
      <family val="2"/>
      <scheme val="minor"/>
    </font>
    <font>
      <b/>
      <sz val="11"/>
      <color rgb="FF7030A0"/>
      <name val="맑은 고딕"/>
      <family val="2"/>
      <scheme val="minor"/>
    </font>
    <font>
      <b/>
      <sz val="11"/>
      <color theme="1"/>
      <name val="맑은 고딕"/>
      <family val="2"/>
      <scheme val="minor"/>
    </font>
    <font>
      <sz val="9"/>
      <color rgb="FFFF0000"/>
      <name val="맑은 고딕"/>
      <family val="2"/>
      <scheme val="minor"/>
    </font>
    <font>
      <b/>
      <sz val="9"/>
      <color rgb="FF000000"/>
      <name val="맑은 고딕"/>
      <family val="3"/>
      <charset val="129"/>
      <scheme val="minor"/>
    </font>
    <font>
      <b/>
      <sz val="11"/>
      <color theme="0"/>
      <name val="맑은 고딕"/>
      <family val="2"/>
      <scheme val="minor"/>
    </font>
    <font>
      <sz val="11"/>
      <color theme="1"/>
      <name val="맑은 고딕"/>
      <family val="2"/>
      <scheme val="minor"/>
    </font>
    <font>
      <sz val="10"/>
      <color theme="1"/>
      <name val="맑은 고딕"/>
      <family val="2"/>
      <scheme val="minor"/>
    </font>
    <font>
      <b/>
      <sz val="9"/>
      <color theme="1"/>
      <name val="맑은 고딕"/>
      <family val="3"/>
      <charset val="129"/>
      <scheme val="minor"/>
    </font>
    <font>
      <sz val="9"/>
      <color theme="1"/>
      <name val="맑은 고딕"/>
      <family val="3"/>
      <charset val="129"/>
      <scheme val="minor"/>
    </font>
    <font>
      <b/>
      <sz val="10"/>
      <color theme="0"/>
      <name val="맑은 고딕"/>
      <family val="2"/>
      <scheme val="minor"/>
    </font>
    <font>
      <b/>
      <sz val="10"/>
      <color rgb="FF0070C0"/>
      <name val="맑은 고딕"/>
      <family val="2"/>
      <scheme val="minor"/>
    </font>
    <font>
      <sz val="10"/>
      <color rgb="FFFF0000"/>
      <name val="맑은 고딕"/>
      <family val="2"/>
      <scheme val="minor"/>
    </font>
    <font>
      <sz val="6"/>
      <color theme="1"/>
      <name val="맑은 고딕"/>
      <family val="3"/>
      <charset val="129"/>
      <scheme val="minor"/>
    </font>
    <font>
      <b/>
      <sz val="8"/>
      <color theme="1"/>
      <name val="맑은 고딕"/>
      <family val="2"/>
      <scheme val="minor"/>
    </font>
    <font>
      <sz val="8"/>
      <color theme="1"/>
      <name val="맑은 고딕"/>
      <family val="3"/>
      <charset val="129"/>
      <scheme val="minor"/>
    </font>
    <font>
      <sz val="6"/>
      <color rgb="FF000000"/>
      <name val="맑은 고딕"/>
      <family val="3"/>
      <charset val="129"/>
      <scheme val="minor"/>
    </font>
    <font>
      <b/>
      <sz val="9"/>
      <color theme="0"/>
      <name val="맑은 고딕"/>
      <family val="3"/>
      <charset val="129"/>
    </font>
    <font>
      <b/>
      <sz val="9"/>
      <color theme="0"/>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theme="1"/>
      <name val="Calibri"/>
      <family val="2"/>
    </font>
    <font>
      <u/>
      <sz val="11"/>
      <color rgb="FF0563C1"/>
      <name val="Malgun Gothic"/>
      <family val="3"/>
      <charset val="129"/>
    </font>
    <font>
      <b/>
      <sz val="9"/>
      <color rgb="FF000000"/>
      <name val="Malgun Gothic"/>
      <family val="3"/>
      <charset val="129"/>
    </font>
    <font>
      <sz val="9"/>
      <color rgb="FFFF0000"/>
      <name val="Malgun Gothic"/>
      <family val="3"/>
      <charset val="129"/>
    </font>
    <font>
      <sz val="10"/>
      <color theme="1"/>
      <name val="Wingdings"/>
      <charset val="2"/>
    </font>
    <font>
      <sz val="9"/>
      <color rgb="FF000000"/>
      <name val="맑은 고딕 (본문)"/>
      <family val="3"/>
      <charset val="129"/>
    </font>
    <font>
      <sz val="9"/>
      <color rgb="FF000000"/>
      <name val="맑은 고딕(본문)"/>
      <family val="3"/>
      <charset val="129"/>
    </font>
    <font>
      <sz val="10"/>
      <color rgb="FF000000"/>
      <name val="Wingdings"/>
      <charset val="2"/>
    </font>
    <font>
      <sz val="9"/>
      <color rgb="FF303D48"/>
      <name val="AIA 바이탈리티 KR Regular"/>
      <family val="3"/>
      <charset val="129"/>
    </font>
    <font>
      <sz val="9"/>
      <color theme="0" tint="-0.249977111117893"/>
      <name val="맑은 고딕"/>
      <family val="2"/>
      <scheme val="minor"/>
    </font>
    <font>
      <u/>
      <sz val="8"/>
      <color theme="10"/>
      <name val="맑은 고딕"/>
      <family val="2"/>
      <scheme val="minor"/>
    </font>
    <font>
      <sz val="9"/>
      <color rgb="FF000000"/>
      <name val="맑은 고딕"/>
      <family val="3"/>
      <charset val="129"/>
    </font>
    <font>
      <sz val="9"/>
      <color rgb="FFFF0000"/>
      <name val="맑은 고딕"/>
      <family val="3"/>
      <charset val="129"/>
    </font>
    <font>
      <sz val="9"/>
      <color theme="1"/>
      <name val="맑은 고딕"/>
      <family val="3"/>
      <charset val="129"/>
    </font>
  </fonts>
  <fills count="24">
    <fill>
      <patternFill patternType="none"/>
    </fill>
    <fill>
      <patternFill patternType="gray125"/>
    </fill>
    <fill>
      <patternFill patternType="solid">
        <fgColor rgb="FFD31145"/>
        <bgColor indexed="64"/>
      </patternFill>
    </fill>
    <fill>
      <patternFill patternType="solid">
        <fgColor rgb="FFFFC8B8"/>
        <bgColor indexed="64"/>
      </patternFill>
    </fill>
    <fill>
      <patternFill patternType="solid">
        <fgColor rgb="FFFFE3DB"/>
        <bgColor indexed="64"/>
      </patternFill>
    </fill>
    <fill>
      <patternFill patternType="solid">
        <fgColor theme="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rgb="FF00B0F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59999389629810485"/>
        <bgColor indexed="64"/>
      </patternFill>
    </fill>
    <fill>
      <patternFill patternType="solid">
        <fgColor rgb="FFFFFFFF"/>
        <bgColor indexed="64"/>
      </patternFill>
    </fill>
  </fills>
  <borders count="184">
    <border>
      <left/>
      <right/>
      <top/>
      <bottom/>
      <diagonal/>
    </border>
    <border>
      <left style="medium">
        <color rgb="FFA6A6A6"/>
      </left>
      <right style="medium">
        <color rgb="FFA6A6A6"/>
      </right>
      <top style="medium">
        <color rgb="FFA6A6A6"/>
      </top>
      <bottom style="medium">
        <color rgb="FFA6A6A6"/>
      </bottom>
      <diagonal/>
    </border>
    <border>
      <left style="medium">
        <color rgb="FFA6A6A6"/>
      </left>
      <right style="medium">
        <color rgb="FFA6A6A6"/>
      </right>
      <top style="medium">
        <color rgb="FFA6A6A6"/>
      </top>
      <bottom/>
      <diagonal/>
    </border>
    <border>
      <left style="medium">
        <color rgb="FFA6A6A6"/>
      </left>
      <right style="medium">
        <color rgb="FFA6A6A6"/>
      </right>
      <top/>
      <bottom/>
      <diagonal/>
    </border>
    <border>
      <left style="medium">
        <color rgb="FFA6A6A6"/>
      </left>
      <right style="medium">
        <color rgb="FFA6A6A6"/>
      </right>
      <top/>
      <bottom style="medium">
        <color rgb="FFA6A6A6"/>
      </bottom>
      <diagonal/>
    </border>
    <border>
      <left style="medium">
        <color rgb="FFA6A6A6"/>
      </left>
      <right style="medium">
        <color rgb="FFA6A6A6"/>
      </right>
      <top style="medium">
        <color rgb="FFA6A6A6"/>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medium">
        <color rgb="FF000000"/>
      </top>
      <bottom style="thin">
        <color rgb="FF000000"/>
      </bottom>
      <diagonal/>
    </border>
    <border>
      <left style="thin">
        <color rgb="FF000000"/>
      </left>
      <right style="medium">
        <color indexed="64"/>
      </right>
      <top style="medium">
        <color rgb="FF000000"/>
      </top>
      <bottom style="thin">
        <color rgb="FF000000"/>
      </bottom>
      <diagonal/>
    </border>
    <border>
      <left style="medium">
        <color indexed="64"/>
      </left>
      <right style="thin">
        <color rgb="FF000000"/>
      </right>
      <top style="medium">
        <color indexed="64"/>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style="thin">
        <color rgb="FF000000"/>
      </bottom>
      <diagonal/>
    </border>
    <border>
      <left/>
      <right/>
      <top style="thin">
        <color rgb="FF000000"/>
      </top>
      <bottom style="medium">
        <color rgb="FF000000"/>
      </bottom>
      <diagonal/>
    </border>
    <border>
      <left style="medium">
        <color indexed="64"/>
      </left>
      <right style="thin">
        <color indexed="64"/>
      </right>
      <top style="medium">
        <color indexed="64"/>
      </top>
      <bottom style="thin">
        <color rgb="FF000000"/>
      </bottom>
      <diagonal/>
    </border>
    <border>
      <left style="thin">
        <color indexed="64"/>
      </left>
      <right style="thin">
        <color indexed="64"/>
      </right>
      <top style="medium">
        <color indexed="64"/>
      </top>
      <bottom style="thin">
        <color rgb="FF000000"/>
      </bottom>
      <diagonal/>
    </border>
    <border>
      <left style="thin">
        <color indexed="64"/>
      </left>
      <right style="medium">
        <color indexed="64"/>
      </right>
      <top style="medium">
        <color indexed="64"/>
      </top>
      <bottom style="thin">
        <color rgb="FF000000"/>
      </bottom>
      <diagonal/>
    </border>
    <border>
      <left style="medium">
        <color indexed="64"/>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indexed="64"/>
      </right>
      <top style="thin">
        <color rgb="FF000000"/>
      </top>
      <bottom style="thin">
        <color rgb="FF000000"/>
      </bottom>
      <diagonal/>
    </border>
    <border>
      <left style="medium">
        <color indexed="64"/>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style="medium">
        <color indexed="64"/>
      </right>
      <top style="thin">
        <color rgb="FF000000"/>
      </top>
      <bottom/>
      <diagonal/>
    </border>
    <border>
      <left style="medium">
        <color indexed="64"/>
      </left>
      <right style="thin">
        <color indexed="64"/>
      </right>
      <top style="medium">
        <color rgb="FF000000"/>
      </top>
      <bottom style="thin">
        <color rgb="FF000000"/>
      </bottom>
      <diagonal/>
    </border>
    <border>
      <left style="thin">
        <color indexed="64"/>
      </left>
      <right style="thin">
        <color indexed="64"/>
      </right>
      <top style="medium">
        <color rgb="FF000000"/>
      </top>
      <bottom style="thin">
        <color rgb="FF000000"/>
      </bottom>
      <diagonal/>
    </border>
    <border>
      <left style="thin">
        <color indexed="64"/>
      </left>
      <right style="medium">
        <color indexed="64"/>
      </right>
      <top style="medium">
        <color rgb="FF000000"/>
      </top>
      <bottom style="thin">
        <color rgb="FF000000"/>
      </bottom>
      <diagonal/>
    </border>
    <border>
      <left style="medium">
        <color indexed="64"/>
      </left>
      <right style="thin">
        <color indexed="64"/>
      </right>
      <top style="thin">
        <color rgb="FF000000"/>
      </top>
      <bottom style="medium">
        <color rgb="FF000000"/>
      </bottom>
      <diagonal/>
    </border>
    <border>
      <left style="thin">
        <color indexed="64"/>
      </left>
      <right style="thin">
        <color indexed="64"/>
      </right>
      <top style="thin">
        <color rgb="FF000000"/>
      </top>
      <bottom style="medium">
        <color rgb="FF000000"/>
      </bottom>
      <diagonal/>
    </border>
    <border>
      <left style="thin">
        <color indexed="64"/>
      </left>
      <right style="medium">
        <color indexed="64"/>
      </right>
      <top style="thin">
        <color rgb="FF000000"/>
      </top>
      <bottom style="medium">
        <color rgb="FF000000"/>
      </bottom>
      <diagonal/>
    </border>
    <border>
      <left style="thin">
        <color indexed="64"/>
      </left>
      <right style="medium">
        <color rgb="FF000000"/>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style="medium">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rgb="FF000000"/>
      </left>
      <right/>
      <top style="thin">
        <color indexed="64"/>
      </top>
      <bottom style="medium">
        <color indexed="64"/>
      </bottom>
      <diagonal/>
    </border>
    <border>
      <left/>
      <right style="thin">
        <color indexed="64"/>
      </right>
      <top style="thin">
        <color rgb="FF000000"/>
      </top>
      <bottom/>
      <diagonal/>
    </border>
    <border>
      <left style="thin">
        <color rgb="FF000000"/>
      </left>
      <right style="thin">
        <color indexed="64"/>
      </right>
      <top style="medium">
        <color indexed="64"/>
      </top>
      <bottom style="medium">
        <color indexed="64"/>
      </bottom>
      <diagonal/>
    </border>
    <border>
      <left style="medium">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medium">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style="medium">
        <color rgb="FF000000"/>
      </right>
      <top style="medium">
        <color indexed="64"/>
      </top>
      <bottom style="thin">
        <color indexed="64"/>
      </bottom>
      <diagonal/>
    </border>
    <border>
      <left style="thin">
        <color rgb="FF000000"/>
      </left>
      <right style="medium">
        <color rgb="FF000000"/>
      </right>
      <top style="thin">
        <color indexed="64"/>
      </top>
      <bottom style="thin">
        <color rgb="FF000000"/>
      </bottom>
      <diagonal/>
    </border>
    <border>
      <left style="thin">
        <color rgb="FF000000"/>
      </left>
      <right style="medium">
        <color rgb="FF000000"/>
      </right>
      <top style="thin">
        <color rgb="FF000000"/>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bottom style="thin">
        <color indexed="64"/>
      </bottom>
      <diagonal/>
    </border>
    <border>
      <left style="medium">
        <color indexed="64"/>
      </left>
      <right style="medium">
        <color rgb="FF000000"/>
      </right>
      <top style="thin">
        <color indexed="64"/>
      </top>
      <bottom style="thin">
        <color indexed="64"/>
      </bottom>
      <diagonal/>
    </border>
    <border>
      <left style="medium">
        <color indexed="64"/>
      </left>
      <right style="medium">
        <color rgb="FF000000"/>
      </right>
      <top style="thin">
        <color indexed="64"/>
      </top>
      <bottom/>
      <diagonal/>
    </border>
    <border>
      <left style="medium">
        <color indexed="64"/>
      </left>
      <right style="medium">
        <color rgb="FF000000"/>
      </right>
      <top style="medium">
        <color indexed="64"/>
      </top>
      <bottom style="thin">
        <color indexed="64"/>
      </bottom>
      <diagonal/>
    </border>
    <border>
      <left style="medium">
        <color indexed="64"/>
      </left>
      <right style="medium">
        <color rgb="FF000000"/>
      </right>
      <top style="thin">
        <color indexed="64"/>
      </top>
      <bottom style="medium">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medium">
        <color rgb="FF000000"/>
      </right>
      <top/>
      <bottom style="thin">
        <color indexed="64"/>
      </bottom>
      <diagonal/>
    </border>
    <border>
      <left/>
      <right/>
      <top/>
      <bottom style="thin">
        <color indexed="64"/>
      </bottom>
      <diagonal/>
    </border>
    <border>
      <left style="medium">
        <color rgb="FF000000"/>
      </left>
      <right style="thin">
        <color indexed="64"/>
      </right>
      <top style="medium">
        <color rgb="FF000000"/>
      </top>
      <bottom style="thin">
        <color indexed="64"/>
      </bottom>
      <diagonal/>
    </border>
    <border>
      <left style="thin">
        <color rgb="FF000000"/>
      </left>
      <right/>
      <top/>
      <bottom style="thin">
        <color indexed="64"/>
      </bottom>
      <diagonal/>
    </border>
    <border>
      <left style="thin">
        <color rgb="FF000000"/>
      </left>
      <right/>
      <top style="thin">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rgb="FF000000"/>
      </right>
      <top style="medium">
        <color indexed="64"/>
      </top>
      <bottom/>
      <diagonal/>
    </border>
    <border>
      <left style="thin">
        <color rgb="FF000000"/>
      </left>
      <right style="medium">
        <color rgb="FF000000"/>
      </right>
      <top/>
      <bottom style="thin">
        <color rgb="FF000000"/>
      </bottom>
      <diagonal/>
    </border>
    <border>
      <left style="thin">
        <color indexed="64"/>
      </left>
      <right style="medium">
        <color rgb="FF000000"/>
      </right>
      <top style="thin">
        <color rgb="FF000000"/>
      </top>
      <bottom/>
      <diagonal/>
    </border>
    <border>
      <left style="thin">
        <color indexed="64"/>
      </left>
      <right style="medium">
        <color rgb="FF000000"/>
      </right>
      <top style="thin">
        <color rgb="FF000000"/>
      </top>
      <bottom style="medium">
        <color rgb="FF000000"/>
      </bottom>
      <diagonal/>
    </border>
    <border>
      <left/>
      <right style="thin">
        <color indexed="64"/>
      </right>
      <top style="thin">
        <color rgb="FF000000"/>
      </top>
      <bottom style="medium">
        <color rgb="FF000000"/>
      </bottom>
      <diagonal/>
    </border>
    <border>
      <left style="thin">
        <color indexed="64"/>
      </left>
      <right/>
      <top style="thin">
        <color rgb="FF000000"/>
      </top>
      <bottom/>
      <diagonal/>
    </border>
    <border>
      <left style="thin">
        <color indexed="64"/>
      </left>
      <right/>
      <top style="thin">
        <color rgb="FF000000"/>
      </top>
      <bottom style="medium">
        <color rgb="FF000000"/>
      </bottom>
      <diagonal/>
    </border>
    <border>
      <left style="thin">
        <color indexed="64"/>
      </left>
      <right/>
      <top style="thin">
        <color indexed="64"/>
      </top>
      <bottom style="medium">
        <color rgb="FF000000"/>
      </bottom>
      <diagonal/>
    </border>
    <border>
      <left style="thin">
        <color indexed="64"/>
      </left>
      <right style="medium">
        <color indexed="64"/>
      </right>
      <top/>
      <bottom/>
      <diagonal/>
    </border>
    <border>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medium">
        <color rgb="FF000000"/>
      </top>
      <bottom style="thin">
        <color rgb="FF000000"/>
      </bottom>
      <diagonal/>
    </border>
    <border>
      <left/>
      <right style="thin">
        <color indexed="64"/>
      </right>
      <top style="thin">
        <color rgb="FF000000"/>
      </top>
      <bottom style="thin">
        <color rgb="FF000000"/>
      </bottom>
      <diagonal/>
    </border>
    <border>
      <left/>
      <right style="thin">
        <color indexed="64"/>
      </right>
      <top/>
      <bottom/>
      <diagonal/>
    </border>
    <border>
      <left/>
      <right style="thin">
        <color indexed="64"/>
      </right>
      <top style="thin">
        <color indexed="64"/>
      </top>
      <bottom style="medium">
        <color rgb="FF000000"/>
      </bottom>
      <diagonal/>
    </border>
    <border>
      <left style="thin">
        <color indexed="64"/>
      </left>
      <right style="medium">
        <color indexed="64"/>
      </right>
      <top style="medium">
        <color rgb="FF000000"/>
      </top>
      <bottom style="thin">
        <color indexed="64"/>
      </bottom>
      <diagonal/>
    </border>
    <border>
      <left style="thin">
        <color indexed="64"/>
      </left>
      <right style="medium">
        <color rgb="FF000000"/>
      </right>
      <top/>
      <bottom style="thin">
        <color rgb="FF000000"/>
      </bottom>
      <diagonal/>
    </border>
    <border>
      <left style="thin">
        <color indexed="64"/>
      </left>
      <right style="medium">
        <color rgb="FF000000"/>
      </right>
      <top style="thin">
        <color rgb="FF000000"/>
      </top>
      <bottom style="thin">
        <color rgb="FF000000"/>
      </bottom>
      <diagonal/>
    </border>
    <border>
      <left style="thin">
        <color indexed="64"/>
      </left>
      <right style="medium">
        <color rgb="FF000000"/>
      </right>
      <top style="medium">
        <color rgb="FF000000"/>
      </top>
      <bottom style="thin">
        <color rgb="FF000000"/>
      </bottom>
      <diagonal/>
    </border>
    <border>
      <left style="thin">
        <color indexed="64"/>
      </left>
      <right style="medium">
        <color rgb="FF000000"/>
      </right>
      <top/>
      <bottom/>
      <diagonal/>
    </border>
    <border>
      <left style="thin">
        <color indexed="64"/>
      </left>
      <right style="medium">
        <color rgb="FF000000"/>
      </right>
      <top style="medium">
        <color indexed="64"/>
      </top>
      <bottom style="medium">
        <color indexed="64"/>
      </bottom>
      <diagonal/>
    </border>
    <border>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indexed="64"/>
      </bottom>
      <diagonal/>
    </border>
  </borders>
  <cellStyleXfs count="4">
    <xf numFmtId="0" fontId="0" fillId="0" borderId="0"/>
    <xf numFmtId="0" fontId="9" fillId="0" borderId="0">
      <alignment vertical="center"/>
    </xf>
    <xf numFmtId="0" fontId="15" fillId="0" borderId="0" applyNumberFormat="0" applyFill="0" applyBorder="0" applyAlignment="0" applyProtection="0"/>
    <xf numFmtId="9" fontId="35" fillId="0" borderId="0" applyFont="0" applyFill="0" applyBorder="0" applyAlignment="0" applyProtection="0">
      <alignment vertical="center"/>
    </xf>
  </cellStyleXfs>
  <cellXfs count="758">
    <xf numFmtId="0" fontId="0" fillId="0" borderId="0" xfId="0"/>
    <xf numFmtId="0" fontId="1" fillId="0" borderId="2" xfId="0" applyFont="1" applyBorder="1" applyAlignment="1">
      <alignment horizontal="left" vertical="center" wrapText="1" readingOrder="1"/>
    </xf>
    <xf numFmtId="0" fontId="1" fillId="4" borderId="2" xfId="0" applyFont="1" applyFill="1" applyBorder="1" applyAlignment="1">
      <alignment horizontal="center" vertical="center" wrapText="1" readingOrder="1"/>
    </xf>
    <xf numFmtId="0" fontId="1" fillId="0" borderId="1" xfId="0" applyFont="1" applyBorder="1" applyAlignment="1">
      <alignment horizontal="left" vertical="center" wrapText="1" readingOrder="1"/>
    </xf>
    <xf numFmtId="0" fontId="1" fillId="4" borderId="1" xfId="0" applyFont="1" applyFill="1" applyBorder="1" applyAlignment="1">
      <alignment horizontal="center" vertical="center" wrapText="1" readingOrder="1"/>
    </xf>
    <xf numFmtId="10" fontId="1" fillId="4" borderId="2" xfId="0" applyNumberFormat="1" applyFont="1" applyFill="1" applyBorder="1" applyAlignment="1">
      <alignment horizontal="center" vertical="center" wrapText="1" readingOrder="1"/>
    </xf>
    <xf numFmtId="0" fontId="1" fillId="4" borderId="4" xfId="0" applyFont="1" applyFill="1" applyBorder="1" applyAlignment="1">
      <alignment horizontal="center" vertical="center" wrapText="1" readingOrder="1"/>
    </xf>
    <xf numFmtId="0" fontId="1" fillId="0" borderId="4" xfId="0" applyFont="1" applyBorder="1" applyAlignment="1">
      <alignment horizontal="left" vertical="center" wrapText="1" readingOrder="1"/>
    </xf>
    <xf numFmtId="0" fontId="1" fillId="4" borderId="3" xfId="0" applyFont="1" applyFill="1" applyBorder="1" applyAlignment="1">
      <alignment horizontal="center" vertical="center" wrapText="1" readingOrder="1"/>
    </xf>
    <xf numFmtId="0" fontId="1" fillId="3" borderId="1" xfId="0" applyFont="1" applyFill="1" applyBorder="1" applyAlignment="1">
      <alignment horizontal="left" vertical="center" wrapText="1" readingOrder="1"/>
    </xf>
    <xf numFmtId="10" fontId="1" fillId="4" borderId="1" xfId="0" applyNumberFormat="1" applyFont="1" applyFill="1" applyBorder="1" applyAlignment="1">
      <alignment horizontal="center" vertical="center" wrapText="1" readingOrder="1"/>
    </xf>
    <xf numFmtId="0" fontId="3" fillId="2" borderId="1" xfId="0" applyFont="1" applyFill="1" applyBorder="1" applyAlignment="1">
      <alignment horizontal="center" vertical="center" wrapText="1" readingOrder="1"/>
    </xf>
    <xf numFmtId="0" fontId="4" fillId="0" borderId="2" xfId="0" applyFont="1" applyBorder="1" applyAlignment="1">
      <alignment horizontal="left" vertical="center" wrapText="1" indent="1" readingOrder="1"/>
    </xf>
    <xf numFmtId="0" fontId="4" fillId="0" borderId="2" xfId="0" applyFont="1" applyBorder="1" applyAlignment="1">
      <alignment vertical="center" wrapText="1"/>
    </xf>
    <xf numFmtId="0" fontId="4" fillId="0" borderId="1" xfId="0" applyFont="1" applyBorder="1" applyAlignment="1">
      <alignment horizontal="left" vertical="center" wrapText="1" indent="1" readingOrder="1"/>
    </xf>
    <xf numFmtId="0" fontId="4" fillId="0" borderId="1" xfId="0" applyFont="1" applyBorder="1" applyAlignment="1">
      <alignment vertical="center" wrapText="1"/>
    </xf>
    <xf numFmtId="0" fontId="1" fillId="3" borderId="2" xfId="0" applyFont="1" applyFill="1" applyBorder="1" applyAlignment="1">
      <alignment horizontal="center" vertical="center" wrapText="1" readingOrder="1"/>
    </xf>
    <xf numFmtId="0" fontId="4" fillId="4" borderId="2" xfId="0" applyFont="1" applyFill="1" applyBorder="1" applyAlignment="1">
      <alignment horizontal="center" vertical="center" wrapText="1"/>
    </xf>
    <xf numFmtId="0" fontId="1" fillId="4" borderId="5" xfId="0" applyFont="1" applyFill="1" applyBorder="1" applyAlignment="1">
      <alignment horizontal="center" vertical="center" wrapText="1" readingOrder="1"/>
    </xf>
    <xf numFmtId="0" fontId="8" fillId="0" borderId="0" xfId="0" applyFont="1" applyAlignment="1">
      <alignment horizontal="center"/>
    </xf>
    <xf numFmtId="0" fontId="13" fillId="7" borderId="10" xfId="0" applyFont="1" applyFill="1" applyBorder="1" applyAlignment="1">
      <alignment horizontal="center" vertical="center" wrapText="1" readingOrder="1"/>
    </xf>
    <xf numFmtId="0" fontId="20" fillId="5" borderId="6" xfId="2" applyFont="1" applyFill="1" applyBorder="1" applyAlignment="1">
      <alignment vertical="center"/>
    </xf>
    <xf numFmtId="0" fontId="3" fillId="2" borderId="6" xfId="0" applyFont="1" applyFill="1" applyBorder="1" applyAlignment="1">
      <alignment horizontal="center" vertical="center" wrapText="1" readingOrder="1"/>
    </xf>
    <xf numFmtId="0" fontId="0" fillId="0" borderId="0" xfId="0" applyAlignment="1">
      <alignment vertical="center"/>
    </xf>
    <xf numFmtId="9" fontId="14" fillId="7" borderId="7" xfId="0" applyNumberFormat="1" applyFont="1" applyFill="1" applyBorder="1" applyAlignment="1">
      <alignment horizontal="center" vertical="center"/>
    </xf>
    <xf numFmtId="10" fontId="10" fillId="6" borderId="6" xfId="0" applyNumberFormat="1" applyFont="1" applyFill="1" applyBorder="1" applyAlignment="1">
      <alignment horizontal="center" vertical="center"/>
    </xf>
    <xf numFmtId="0" fontId="21" fillId="5" borderId="6" xfId="1" applyFont="1" applyFill="1" applyBorder="1">
      <alignment vertical="center"/>
    </xf>
    <xf numFmtId="0" fontId="22" fillId="10" borderId="7" xfId="0" applyFont="1" applyFill="1" applyBorder="1" applyAlignment="1">
      <alignment horizontal="center" vertical="center"/>
    </xf>
    <xf numFmtId="14" fontId="22" fillId="10" borderId="6" xfId="0" applyNumberFormat="1" applyFont="1" applyFill="1" applyBorder="1" applyAlignment="1">
      <alignment vertical="center"/>
    </xf>
    <xf numFmtId="9" fontId="10" fillId="0" borderId="6" xfId="0" applyNumberFormat="1" applyFont="1" applyBorder="1" applyAlignment="1">
      <alignment vertical="center"/>
    </xf>
    <xf numFmtId="0" fontId="3" fillId="2" borderId="7" xfId="0" applyFont="1" applyFill="1" applyBorder="1" applyAlignment="1">
      <alignment horizontal="center" vertical="center" wrapText="1" readingOrder="1"/>
    </xf>
    <xf numFmtId="0" fontId="8" fillId="0" borderId="0" xfId="0" applyFont="1"/>
    <xf numFmtId="0" fontId="27" fillId="0" borderId="0" xfId="0" applyFont="1" applyAlignment="1">
      <alignment vertical="center"/>
    </xf>
    <xf numFmtId="0" fontId="23" fillId="0" borderId="6" xfId="0" applyFont="1" applyBorder="1" applyAlignment="1">
      <alignment vertical="top" wrapText="1"/>
    </xf>
    <xf numFmtId="0" fontId="23" fillId="0" borderId="6" xfId="0" quotePrefix="1" applyFont="1" applyBorder="1" applyAlignment="1">
      <alignment vertical="top" wrapText="1"/>
    </xf>
    <xf numFmtId="0" fontId="23" fillId="0" borderId="6" xfId="0" applyFont="1" applyBorder="1" applyAlignment="1">
      <alignment horizontal="left" vertical="top" wrapText="1" indent="1" readingOrder="1"/>
    </xf>
    <xf numFmtId="0" fontId="24" fillId="0" borderId="6" xfId="0" applyFont="1" applyBorder="1" applyAlignment="1">
      <alignment vertical="top" wrapText="1"/>
    </xf>
    <xf numFmtId="0" fontId="24" fillId="0" borderId="6" xfId="0" applyFont="1" applyBorder="1" applyAlignment="1">
      <alignment vertical="top"/>
    </xf>
    <xf numFmtId="0" fontId="18" fillId="5" borderId="6" xfId="1" applyFont="1" applyFill="1" applyBorder="1" applyAlignment="1">
      <alignment horizontal="center" vertical="center"/>
    </xf>
    <xf numFmtId="0" fontId="19" fillId="5" borderId="6" xfId="2" applyFont="1" applyFill="1" applyBorder="1" applyAlignment="1">
      <alignment horizontal="center" vertical="center"/>
    </xf>
    <xf numFmtId="0" fontId="11" fillId="5" borderId="6" xfId="1" applyFont="1" applyFill="1" applyBorder="1">
      <alignment vertical="center"/>
    </xf>
    <xf numFmtId="0" fontId="18" fillId="5" borderId="6" xfId="1" applyFont="1" applyFill="1" applyBorder="1">
      <alignment vertical="center"/>
    </xf>
    <xf numFmtId="0" fontId="11" fillId="5" borderId="6" xfId="1" applyFont="1" applyFill="1" applyBorder="1" applyAlignment="1">
      <alignment horizontal="center" vertical="center"/>
    </xf>
    <xf numFmtId="0" fontId="20" fillId="11" borderId="6" xfId="2" applyFont="1" applyFill="1" applyBorder="1" applyAlignment="1">
      <alignment vertical="center"/>
    </xf>
    <xf numFmtId="0" fontId="11" fillId="11" borderId="6" xfId="1" applyFont="1" applyFill="1" applyBorder="1">
      <alignment vertical="center"/>
    </xf>
    <xf numFmtId="0" fontId="21" fillId="5" borderId="6" xfId="1" applyFont="1" applyFill="1" applyBorder="1" applyAlignment="1">
      <alignment vertical="center" wrapText="1"/>
    </xf>
    <xf numFmtId="0" fontId="23" fillId="0" borderId="6" xfId="0" applyFont="1" applyBorder="1" applyAlignment="1">
      <alignment horizontal="left" vertical="top" wrapText="1" readingOrder="1"/>
    </xf>
    <xf numFmtId="0" fontId="3" fillId="2" borderId="0" xfId="0" applyFont="1" applyFill="1" applyAlignment="1">
      <alignment horizontal="center" vertical="center" wrapText="1" readingOrder="1"/>
    </xf>
    <xf numFmtId="0" fontId="23" fillId="0" borderId="7" xfId="0" applyFont="1" applyBorder="1" applyAlignment="1">
      <alignment vertical="top" wrapText="1"/>
    </xf>
    <xf numFmtId="0" fontId="23" fillId="0" borderId="7" xfId="0" applyFont="1" applyBorder="1" applyAlignment="1">
      <alignment horizontal="left" vertical="top" wrapText="1" readingOrder="1"/>
    </xf>
    <xf numFmtId="0" fontId="24" fillId="0" borderId="7" xfId="0" applyFont="1" applyBorder="1" applyAlignment="1">
      <alignment vertical="top" wrapText="1"/>
    </xf>
    <xf numFmtId="0" fontId="23" fillId="0" borderId="7" xfId="0" applyFont="1" applyBorder="1" applyAlignment="1">
      <alignment horizontal="left" vertical="top" wrapText="1" indent="1" readingOrder="1"/>
    </xf>
    <xf numFmtId="0" fontId="24" fillId="0" borderId="7" xfId="0" applyFont="1" applyBorder="1" applyAlignment="1">
      <alignment vertical="top"/>
    </xf>
    <xf numFmtId="0" fontId="18" fillId="12" borderId="6" xfId="1" applyFont="1" applyFill="1" applyBorder="1">
      <alignment vertical="center"/>
    </xf>
    <xf numFmtId="0" fontId="11" fillId="12" borderId="11" xfId="1" applyFont="1" applyFill="1" applyBorder="1" applyAlignment="1">
      <alignment horizontal="left" vertical="center"/>
    </xf>
    <xf numFmtId="0" fontId="18" fillId="5" borderId="11" xfId="1" applyFont="1" applyFill="1" applyBorder="1">
      <alignment vertical="center"/>
    </xf>
    <xf numFmtId="0" fontId="20" fillId="5" borderId="12" xfId="2" applyFont="1" applyFill="1" applyBorder="1" applyAlignment="1">
      <alignment vertical="center"/>
    </xf>
    <xf numFmtId="0" fontId="20" fillId="5" borderId="13" xfId="2" applyFont="1" applyFill="1" applyBorder="1" applyAlignment="1">
      <alignment vertical="center"/>
    </xf>
    <xf numFmtId="0" fontId="20" fillId="5" borderId="11" xfId="2" applyFont="1" applyFill="1" applyBorder="1" applyAlignment="1">
      <alignment vertical="center"/>
    </xf>
    <xf numFmtId="0" fontId="11" fillId="5" borderId="11" xfId="1" applyFont="1" applyFill="1" applyBorder="1">
      <alignment vertical="center"/>
    </xf>
    <xf numFmtId="0" fontId="11" fillId="5" borderId="12" xfId="1" applyFont="1" applyFill="1" applyBorder="1">
      <alignment vertical="center"/>
    </xf>
    <xf numFmtId="0" fontId="11" fillId="5" borderId="13" xfId="1" applyFont="1" applyFill="1" applyBorder="1">
      <alignment vertical="center"/>
    </xf>
    <xf numFmtId="14" fontId="22" fillId="10" borderId="7" xfId="0" applyNumberFormat="1" applyFont="1" applyFill="1" applyBorder="1" applyAlignment="1">
      <alignment vertical="center"/>
    </xf>
    <xf numFmtId="0" fontId="0" fillId="5" borderId="0" xfId="0" applyFill="1"/>
    <xf numFmtId="9" fontId="14" fillId="7" borderId="6" xfId="0" applyNumberFormat="1" applyFont="1" applyFill="1" applyBorder="1" applyAlignment="1">
      <alignment horizontal="right" vertical="center"/>
    </xf>
    <xf numFmtId="0" fontId="26" fillId="5" borderId="11" xfId="2" applyFont="1" applyFill="1" applyBorder="1" applyAlignment="1">
      <alignment horizontal="center" vertical="center"/>
    </xf>
    <xf numFmtId="0" fontId="28" fillId="5" borderId="6" xfId="1" applyFont="1" applyFill="1" applyBorder="1" applyAlignment="1">
      <alignment horizontal="center" vertical="center"/>
    </xf>
    <xf numFmtId="0" fontId="29" fillId="5" borderId="11" xfId="2" applyFont="1" applyFill="1" applyBorder="1" applyAlignment="1">
      <alignment horizontal="center" vertical="center"/>
    </xf>
    <xf numFmtId="0" fontId="23" fillId="0" borderId="7" xfId="0" applyFont="1" applyBorder="1" applyAlignment="1">
      <alignment horizontal="left" vertical="top" wrapText="1"/>
    </xf>
    <xf numFmtId="0" fontId="15" fillId="0" borderId="6" xfId="2" applyBorder="1" applyAlignment="1">
      <alignment horizontal="left" vertical="top" wrapText="1"/>
    </xf>
    <xf numFmtId="0" fontId="23" fillId="0" borderId="6" xfId="0" applyFont="1" applyBorder="1" applyAlignment="1">
      <alignment horizontal="left" vertical="top" wrapText="1"/>
    </xf>
    <xf numFmtId="0" fontId="24" fillId="0" borderId="7" xfId="0" applyFont="1" applyBorder="1" applyAlignment="1">
      <alignment horizontal="left" vertical="top" wrapText="1"/>
    </xf>
    <xf numFmtId="0" fontId="24" fillId="0" borderId="6" xfId="0" applyFont="1" applyBorder="1" applyAlignment="1">
      <alignment horizontal="left" vertical="top" wrapText="1"/>
    </xf>
    <xf numFmtId="0" fontId="24" fillId="0" borderId="7" xfId="0" applyFont="1" applyBorder="1" applyAlignment="1">
      <alignment horizontal="left" vertical="top"/>
    </xf>
    <xf numFmtId="0" fontId="24" fillId="0" borderId="6" xfId="0" applyFont="1" applyBorder="1" applyAlignment="1">
      <alignment horizontal="left" vertical="top"/>
    </xf>
    <xf numFmtId="0" fontId="23" fillId="0" borderId="13" xfId="0" applyFont="1" applyBorder="1" applyAlignment="1">
      <alignment horizontal="left" vertical="top" wrapText="1"/>
    </xf>
    <xf numFmtId="0" fontId="21" fillId="0" borderId="13" xfId="0" applyFont="1" applyBorder="1" applyAlignment="1">
      <alignment horizontal="left" vertical="top" wrapText="1"/>
    </xf>
    <xf numFmtId="0" fontId="26" fillId="5" borderId="6" xfId="2" applyFont="1" applyFill="1" applyBorder="1" applyAlignment="1">
      <alignment vertical="center"/>
    </xf>
    <xf numFmtId="0" fontId="11" fillId="5" borderId="14" xfId="1" applyFont="1" applyFill="1" applyBorder="1">
      <alignment vertical="center"/>
    </xf>
    <xf numFmtId="10" fontId="10" fillId="6" borderId="8" xfId="0" applyNumberFormat="1" applyFont="1" applyFill="1" applyBorder="1" applyAlignment="1">
      <alignment horizontal="center" vertical="center"/>
    </xf>
    <xf numFmtId="0" fontId="30" fillId="0" borderId="0" xfId="0" applyFont="1"/>
    <xf numFmtId="0" fontId="31" fillId="0" borderId="0" xfId="0" applyFont="1"/>
    <xf numFmtId="9" fontId="32" fillId="0" borderId="6" xfId="0" applyNumberFormat="1" applyFont="1" applyBorder="1" applyAlignment="1">
      <alignment vertical="center"/>
    </xf>
    <xf numFmtId="0" fontId="19" fillId="5" borderId="11" xfId="2" applyFont="1" applyFill="1" applyBorder="1" applyAlignment="1">
      <alignment horizontal="center" vertical="center"/>
    </xf>
    <xf numFmtId="0" fontId="19" fillId="5" borderId="12" xfId="2" applyFont="1" applyFill="1" applyBorder="1" applyAlignment="1">
      <alignment horizontal="center" vertical="center"/>
    </xf>
    <xf numFmtId="0" fontId="19" fillId="5" borderId="13" xfId="2" applyFont="1" applyFill="1" applyBorder="1" applyAlignment="1">
      <alignment horizontal="center" vertical="center"/>
    </xf>
    <xf numFmtId="0" fontId="12" fillId="0" borderId="6" xfId="0" applyFont="1" applyBorder="1" applyAlignment="1">
      <alignment horizontal="center" vertical="center"/>
    </xf>
    <xf numFmtId="9" fontId="20" fillId="0" borderId="6" xfId="0" applyNumberFormat="1" applyFont="1" applyBorder="1" applyAlignment="1">
      <alignment vertical="center"/>
    </xf>
    <xf numFmtId="14" fontId="22" fillId="10" borderId="6" xfId="0" applyNumberFormat="1" applyFont="1" applyFill="1" applyBorder="1" applyAlignment="1">
      <alignment horizontal="center" vertical="center"/>
    </xf>
    <xf numFmtId="0" fontId="18" fillId="0" borderId="0" xfId="1" applyFont="1" applyAlignment="1">
      <alignment horizontal="left" vertical="center"/>
    </xf>
    <xf numFmtId="0" fontId="20" fillId="0" borderId="0" xfId="2" applyFont="1" applyFill="1" applyBorder="1" applyAlignment="1">
      <alignment vertical="center"/>
    </xf>
    <xf numFmtId="0" fontId="18" fillId="5" borderId="13" xfId="1" applyFont="1" applyFill="1" applyBorder="1">
      <alignment vertical="center"/>
    </xf>
    <xf numFmtId="0" fontId="18" fillId="5" borderId="12" xfId="1" applyFont="1" applyFill="1" applyBorder="1">
      <alignment vertical="center"/>
    </xf>
    <xf numFmtId="0" fontId="20" fillId="18" borderId="6" xfId="2" applyFont="1" applyFill="1" applyBorder="1" applyAlignment="1">
      <alignment vertical="center"/>
    </xf>
    <xf numFmtId="0" fontId="19" fillId="18" borderId="11" xfId="2" applyFont="1" applyFill="1" applyBorder="1" applyAlignment="1">
      <alignment horizontal="center" vertical="center"/>
    </xf>
    <xf numFmtId="0" fontId="20" fillId="18" borderId="11" xfId="2" applyFont="1" applyFill="1" applyBorder="1" applyAlignment="1">
      <alignment vertical="center"/>
    </xf>
    <xf numFmtId="9" fontId="10" fillId="18" borderId="6" xfId="0" applyNumberFormat="1" applyFont="1" applyFill="1" applyBorder="1" applyAlignment="1">
      <alignment vertical="center"/>
    </xf>
    <xf numFmtId="0" fontId="19" fillId="18" borderId="12" xfId="2" applyFont="1" applyFill="1" applyBorder="1" applyAlignment="1">
      <alignment horizontal="center" vertical="center"/>
    </xf>
    <xf numFmtId="0" fontId="20" fillId="18" borderId="12" xfId="2" applyFont="1" applyFill="1" applyBorder="1" applyAlignment="1">
      <alignment vertical="center"/>
    </xf>
    <xf numFmtId="0" fontId="19" fillId="18" borderId="13" xfId="2" applyFont="1" applyFill="1" applyBorder="1" applyAlignment="1">
      <alignment horizontal="center" vertical="center"/>
    </xf>
    <xf numFmtId="0" fontId="20" fillId="18" borderId="13" xfId="2" applyFont="1" applyFill="1" applyBorder="1" applyAlignment="1">
      <alignment vertical="center"/>
    </xf>
    <xf numFmtId="0" fontId="11" fillId="18" borderId="6" xfId="1" applyFont="1" applyFill="1" applyBorder="1">
      <alignment vertical="center"/>
    </xf>
    <xf numFmtId="0" fontId="18" fillId="18" borderId="6" xfId="1" applyFont="1" applyFill="1" applyBorder="1" applyAlignment="1">
      <alignment horizontal="center" vertical="center"/>
    </xf>
    <xf numFmtId="0" fontId="11" fillId="18" borderId="11" xfId="1" applyFont="1" applyFill="1" applyBorder="1">
      <alignment vertical="center"/>
    </xf>
    <xf numFmtId="0" fontId="11" fillId="18" borderId="12" xfId="1" applyFont="1" applyFill="1" applyBorder="1">
      <alignment vertical="center"/>
    </xf>
    <xf numFmtId="0" fontId="19" fillId="18" borderId="6" xfId="2" applyFont="1" applyFill="1" applyBorder="1" applyAlignment="1">
      <alignment horizontal="center" vertical="center"/>
    </xf>
    <xf numFmtId="0" fontId="11" fillId="18" borderId="14" xfId="1" applyFont="1" applyFill="1" applyBorder="1">
      <alignment vertical="center"/>
    </xf>
    <xf numFmtId="0" fontId="26" fillId="18" borderId="6" xfId="2" applyFont="1" applyFill="1" applyBorder="1" applyAlignment="1">
      <alignment vertical="center"/>
    </xf>
    <xf numFmtId="0" fontId="11" fillId="18" borderId="13" xfId="1" applyFont="1" applyFill="1" applyBorder="1">
      <alignment vertical="center"/>
    </xf>
    <xf numFmtId="9" fontId="10" fillId="0" borderId="18" xfId="0" applyNumberFormat="1" applyFont="1" applyBorder="1" applyAlignment="1">
      <alignment vertical="center"/>
    </xf>
    <xf numFmtId="9" fontId="10" fillId="0" borderId="19" xfId="0" applyNumberFormat="1" applyFont="1" applyBorder="1" applyAlignment="1">
      <alignment vertical="center"/>
    </xf>
    <xf numFmtId="9" fontId="20" fillId="0" borderId="19" xfId="0" applyNumberFormat="1" applyFont="1" applyBorder="1" applyAlignment="1">
      <alignment vertical="center"/>
    </xf>
    <xf numFmtId="9" fontId="10" fillId="0" borderId="20" xfId="0" applyNumberFormat="1" applyFont="1" applyBorder="1" applyAlignment="1">
      <alignment vertical="center"/>
    </xf>
    <xf numFmtId="9" fontId="10" fillId="0" borderId="21" xfId="0" applyNumberFormat="1" applyFont="1" applyBorder="1" applyAlignment="1">
      <alignment vertical="center"/>
    </xf>
    <xf numFmtId="9" fontId="10" fillId="0" borderId="22" xfId="0" applyNumberFormat="1" applyFont="1" applyBorder="1" applyAlignment="1">
      <alignment vertical="center"/>
    </xf>
    <xf numFmtId="9" fontId="10" fillId="18" borderId="21" xfId="0" applyNumberFormat="1" applyFont="1" applyFill="1" applyBorder="1" applyAlignment="1">
      <alignment vertical="center"/>
    </xf>
    <xf numFmtId="9" fontId="10" fillId="18" borderId="22" xfId="0" applyNumberFormat="1" applyFont="1" applyFill="1" applyBorder="1" applyAlignment="1">
      <alignment vertical="center"/>
    </xf>
    <xf numFmtId="9" fontId="10" fillId="18" borderId="23" xfId="0" applyNumberFormat="1" applyFont="1" applyFill="1" applyBorder="1" applyAlignment="1">
      <alignment vertical="center"/>
    </xf>
    <xf numFmtId="9" fontId="10" fillId="18" borderId="24" xfId="0" applyNumberFormat="1" applyFont="1" applyFill="1" applyBorder="1" applyAlignment="1">
      <alignment vertical="center"/>
    </xf>
    <xf numFmtId="9" fontId="10" fillId="18" borderId="25" xfId="0" applyNumberFormat="1" applyFont="1" applyFill="1" applyBorder="1" applyAlignment="1">
      <alignment vertical="center"/>
    </xf>
    <xf numFmtId="10" fontId="10" fillId="6" borderId="15" xfId="0" applyNumberFormat="1" applyFont="1" applyFill="1" applyBorder="1" applyAlignment="1">
      <alignment horizontal="center" vertical="center"/>
    </xf>
    <xf numFmtId="10" fontId="10" fillId="6" borderId="7" xfId="0" applyNumberFormat="1" applyFont="1" applyFill="1" applyBorder="1" applyAlignment="1">
      <alignment horizontal="center" vertical="center"/>
    </xf>
    <xf numFmtId="10" fontId="10" fillId="18" borderId="7" xfId="0" applyNumberFormat="1" applyFont="1" applyFill="1" applyBorder="1" applyAlignment="1">
      <alignment horizontal="center" vertical="center"/>
    </xf>
    <xf numFmtId="10" fontId="10" fillId="18" borderId="10" xfId="0" applyNumberFormat="1" applyFont="1" applyFill="1" applyBorder="1" applyAlignment="1">
      <alignment horizontal="center" vertical="center"/>
    </xf>
    <xf numFmtId="0" fontId="20" fillId="11" borderId="20" xfId="2" applyFont="1" applyFill="1" applyBorder="1" applyAlignment="1">
      <alignment vertical="center"/>
    </xf>
    <xf numFmtId="0" fontId="20" fillId="11" borderId="22" xfId="2" applyFont="1" applyFill="1" applyBorder="1" applyAlignment="1">
      <alignment vertical="center"/>
    </xf>
    <xf numFmtId="0" fontId="20" fillId="18" borderId="22" xfId="2" applyFont="1" applyFill="1" applyBorder="1" applyAlignment="1">
      <alignment vertical="center"/>
    </xf>
    <xf numFmtId="0" fontId="11" fillId="11" borderId="22" xfId="1" applyFont="1" applyFill="1" applyBorder="1">
      <alignment vertical="center"/>
    </xf>
    <xf numFmtId="0" fontId="11" fillId="18" borderId="22" xfId="1" applyFont="1" applyFill="1" applyBorder="1">
      <alignment vertical="center"/>
    </xf>
    <xf numFmtId="0" fontId="11" fillId="18" borderId="25" xfId="1" applyFont="1" applyFill="1" applyBorder="1">
      <alignment vertical="center"/>
    </xf>
    <xf numFmtId="0" fontId="19" fillId="5" borderId="8" xfId="2" applyFont="1" applyFill="1" applyBorder="1" applyAlignment="1">
      <alignment horizontal="center" vertical="center"/>
    </xf>
    <xf numFmtId="0" fontId="18" fillId="18" borderId="8" xfId="1" applyFont="1" applyFill="1" applyBorder="1" applyAlignment="1">
      <alignment horizontal="center" vertical="center"/>
    </xf>
    <xf numFmtId="0" fontId="18" fillId="5" borderId="8" xfId="1" applyFont="1" applyFill="1" applyBorder="1" applyAlignment="1">
      <alignment horizontal="center" vertical="center"/>
    </xf>
    <xf numFmtId="0" fontId="19" fillId="18" borderId="8" xfId="2" applyFont="1" applyFill="1" applyBorder="1" applyAlignment="1">
      <alignment horizontal="center" vertical="center"/>
    </xf>
    <xf numFmtId="9" fontId="10" fillId="0" borderId="29" xfId="0" applyNumberFormat="1" applyFont="1" applyBorder="1" applyAlignment="1">
      <alignment vertical="center"/>
    </xf>
    <xf numFmtId="9" fontId="10" fillId="0" borderId="7" xfId="0" applyNumberFormat="1" applyFont="1" applyBorder="1" applyAlignment="1">
      <alignment vertical="center"/>
    </xf>
    <xf numFmtId="9" fontId="10" fillId="18" borderId="7" xfId="0" applyNumberFormat="1" applyFont="1" applyFill="1" applyBorder="1" applyAlignment="1">
      <alignment vertical="center"/>
    </xf>
    <xf numFmtId="9" fontId="10" fillId="18" borderId="30" xfId="0" applyNumberFormat="1" applyFont="1" applyFill="1" applyBorder="1" applyAlignment="1">
      <alignment vertical="center"/>
    </xf>
    <xf numFmtId="0" fontId="20" fillId="11" borderId="31" xfId="2" applyFont="1" applyFill="1" applyBorder="1" applyAlignment="1">
      <alignment vertical="center"/>
    </xf>
    <xf numFmtId="0" fontId="20" fillId="11" borderId="32" xfId="2" applyFont="1" applyFill="1" applyBorder="1" applyAlignment="1">
      <alignment vertical="center"/>
    </xf>
    <xf numFmtId="0" fontId="20" fillId="11" borderId="33" xfId="2" applyFont="1" applyFill="1" applyBorder="1" applyAlignment="1">
      <alignment vertical="center"/>
    </xf>
    <xf numFmtId="9" fontId="10" fillId="19" borderId="6" xfId="0" applyNumberFormat="1" applyFont="1" applyFill="1" applyBorder="1" applyAlignment="1">
      <alignment vertical="center"/>
    </xf>
    <xf numFmtId="9" fontId="20" fillId="19" borderId="6" xfId="0" applyNumberFormat="1" applyFont="1" applyFill="1" applyBorder="1" applyAlignment="1">
      <alignment vertical="center"/>
    </xf>
    <xf numFmtId="9" fontId="10" fillId="19" borderId="11" xfId="0" applyNumberFormat="1" applyFont="1" applyFill="1" applyBorder="1" applyAlignment="1">
      <alignment vertical="center"/>
    </xf>
    <xf numFmtId="9" fontId="10" fillId="19" borderId="18" xfId="0" applyNumberFormat="1" applyFont="1" applyFill="1" applyBorder="1" applyAlignment="1">
      <alignment vertical="center"/>
    </xf>
    <xf numFmtId="9" fontId="10" fillId="19" borderId="19" xfId="0" applyNumberFormat="1" applyFont="1" applyFill="1" applyBorder="1" applyAlignment="1">
      <alignment vertical="center"/>
    </xf>
    <xf numFmtId="9" fontId="20" fillId="19" borderId="19" xfId="0" applyNumberFormat="1" applyFont="1" applyFill="1" applyBorder="1" applyAlignment="1">
      <alignment vertical="center"/>
    </xf>
    <xf numFmtId="9" fontId="10" fillId="19" borderId="20" xfId="0" applyNumberFormat="1" applyFont="1" applyFill="1" applyBorder="1" applyAlignment="1">
      <alignment vertical="center"/>
    </xf>
    <xf numFmtId="9" fontId="10" fillId="19" borderId="21" xfId="0" applyNumberFormat="1" applyFont="1" applyFill="1" applyBorder="1" applyAlignment="1">
      <alignment vertical="center"/>
    </xf>
    <xf numFmtId="9" fontId="10" fillId="19" borderId="22" xfId="0" applyNumberFormat="1" applyFont="1" applyFill="1" applyBorder="1" applyAlignment="1">
      <alignment vertical="center"/>
    </xf>
    <xf numFmtId="9" fontId="10" fillId="19" borderId="23" xfId="0" applyNumberFormat="1" applyFont="1" applyFill="1" applyBorder="1" applyAlignment="1">
      <alignment vertical="center"/>
    </xf>
    <xf numFmtId="9" fontId="10" fillId="19" borderId="24" xfId="0" applyNumberFormat="1" applyFont="1" applyFill="1" applyBorder="1" applyAlignment="1">
      <alignment vertical="center"/>
    </xf>
    <xf numFmtId="9" fontId="32" fillId="19" borderId="24" xfId="0" applyNumberFormat="1" applyFont="1" applyFill="1" applyBorder="1" applyAlignment="1">
      <alignment vertical="center"/>
    </xf>
    <xf numFmtId="9" fontId="10" fillId="19" borderId="25" xfId="0" applyNumberFormat="1" applyFont="1" applyFill="1" applyBorder="1" applyAlignment="1">
      <alignment vertical="center"/>
    </xf>
    <xf numFmtId="10" fontId="10" fillId="6" borderId="14" xfId="0" applyNumberFormat="1" applyFont="1" applyFill="1" applyBorder="1" applyAlignment="1">
      <alignment horizontal="center" vertical="center"/>
    </xf>
    <xf numFmtId="9" fontId="10" fillId="0" borderId="0" xfId="0" applyNumberFormat="1" applyFont="1" applyAlignment="1">
      <alignment vertical="center"/>
    </xf>
    <xf numFmtId="9" fontId="32" fillId="0" borderId="0" xfId="0" applyNumberFormat="1" applyFont="1" applyAlignment="1">
      <alignment vertical="center"/>
    </xf>
    <xf numFmtId="9" fontId="10" fillId="19" borderId="29" xfId="0" applyNumberFormat="1" applyFont="1" applyFill="1" applyBorder="1" applyAlignment="1">
      <alignment vertical="center"/>
    </xf>
    <xf numFmtId="9" fontId="10" fillId="19" borderId="7" xfId="0" applyNumberFormat="1" applyFont="1" applyFill="1" applyBorder="1" applyAlignment="1">
      <alignment vertical="center"/>
    </xf>
    <xf numFmtId="9" fontId="10" fillId="19" borderId="30" xfId="0" applyNumberFormat="1" applyFont="1" applyFill="1" applyBorder="1" applyAlignment="1">
      <alignment vertical="center"/>
    </xf>
    <xf numFmtId="0" fontId="3" fillId="2" borderId="15" xfId="0" applyFont="1" applyFill="1" applyBorder="1" applyAlignment="1">
      <alignment horizontal="center" vertical="center" wrapText="1" readingOrder="1"/>
    </xf>
    <xf numFmtId="0" fontId="22" fillId="10" borderId="15" xfId="0" applyFont="1" applyFill="1" applyBorder="1" applyAlignment="1">
      <alignment horizontal="center" vertical="center"/>
    </xf>
    <xf numFmtId="14" fontId="22" fillId="10" borderId="15" xfId="0" applyNumberFormat="1" applyFont="1" applyFill="1" applyBorder="1" applyAlignment="1">
      <alignment horizontal="center" vertical="center"/>
    </xf>
    <xf numFmtId="14" fontId="22" fillId="10" borderId="13" xfId="0" applyNumberFormat="1" applyFont="1" applyFill="1" applyBorder="1" applyAlignment="1">
      <alignment horizontal="center" vertical="center"/>
    </xf>
    <xf numFmtId="0" fontId="19" fillId="5" borderId="26" xfId="2" applyFont="1" applyFill="1" applyBorder="1" applyAlignment="1">
      <alignment horizontal="center" vertical="center"/>
    </xf>
    <xf numFmtId="0" fontId="18" fillId="5" borderId="19" xfId="1" applyFont="1" applyFill="1" applyBorder="1">
      <alignment vertical="center"/>
    </xf>
    <xf numFmtId="0" fontId="18" fillId="5" borderId="26" xfId="1" applyFont="1" applyFill="1" applyBorder="1">
      <alignment vertical="center"/>
    </xf>
    <xf numFmtId="10" fontId="10" fillId="6" borderId="29" xfId="0" applyNumberFormat="1" applyFont="1" applyFill="1" applyBorder="1" applyAlignment="1">
      <alignment horizontal="center" vertical="center"/>
    </xf>
    <xf numFmtId="0" fontId="19" fillId="5" borderId="28" xfId="2" applyFont="1" applyFill="1" applyBorder="1" applyAlignment="1">
      <alignment horizontal="center" vertical="center"/>
    </xf>
    <xf numFmtId="0" fontId="20" fillId="5" borderId="24" xfId="2" applyFont="1" applyFill="1" applyBorder="1" applyAlignment="1">
      <alignment vertical="center"/>
    </xf>
    <xf numFmtId="0" fontId="20" fillId="5" borderId="28" xfId="2" applyFont="1" applyFill="1" applyBorder="1" applyAlignment="1">
      <alignment vertical="center"/>
    </xf>
    <xf numFmtId="10" fontId="10" fillId="6" borderId="30" xfId="0" applyNumberFormat="1" applyFont="1" applyFill="1" applyBorder="1" applyAlignment="1">
      <alignment horizontal="center" vertical="center"/>
    </xf>
    <xf numFmtId="0" fontId="20" fillId="11" borderId="37" xfId="2" applyFont="1" applyFill="1" applyBorder="1" applyAlignment="1">
      <alignment vertical="center"/>
    </xf>
    <xf numFmtId="9" fontId="10" fillId="19" borderId="36" xfId="0" applyNumberFormat="1" applyFont="1" applyFill="1" applyBorder="1" applyAlignment="1">
      <alignment vertical="center"/>
    </xf>
    <xf numFmtId="9" fontId="20" fillId="19" borderId="11" xfId="0" applyNumberFormat="1" applyFont="1" applyFill="1" applyBorder="1" applyAlignment="1">
      <alignment vertical="center"/>
    </xf>
    <xf numFmtId="9" fontId="10" fillId="19" borderId="14" xfId="0" applyNumberFormat="1" applyFont="1" applyFill="1" applyBorder="1" applyAlignment="1">
      <alignment vertical="center"/>
    </xf>
    <xf numFmtId="9" fontId="10" fillId="19" borderId="38" xfId="0" applyNumberFormat="1" applyFont="1" applyFill="1" applyBorder="1" applyAlignment="1">
      <alignment vertical="center"/>
    </xf>
    <xf numFmtId="0" fontId="19" fillId="0" borderId="9" xfId="2" applyFont="1" applyFill="1" applyBorder="1" applyAlignment="1">
      <alignment horizontal="center" vertical="center"/>
    </xf>
    <xf numFmtId="0" fontId="20" fillId="0" borderId="9" xfId="2" applyFont="1" applyFill="1" applyBorder="1" applyAlignment="1">
      <alignment vertical="center"/>
    </xf>
    <xf numFmtId="0" fontId="26" fillId="0" borderId="9" xfId="2" applyFont="1" applyFill="1" applyBorder="1" applyAlignment="1">
      <alignment horizontal="center" vertical="center"/>
    </xf>
    <xf numFmtId="10" fontId="10" fillId="0" borderId="9" xfId="0" applyNumberFormat="1" applyFont="1" applyBorder="1" applyAlignment="1">
      <alignment horizontal="center" vertical="center"/>
    </xf>
    <xf numFmtId="0" fontId="20" fillId="0" borderId="0" xfId="2" applyFont="1" applyAlignment="1">
      <alignment vertical="center"/>
    </xf>
    <xf numFmtId="0" fontId="10" fillId="0" borderId="6" xfId="0" applyFont="1" applyBorder="1" applyAlignment="1">
      <alignment horizontal="center" vertical="center"/>
    </xf>
    <xf numFmtId="0" fontId="10" fillId="0" borderId="6" xfId="0" applyFont="1" applyBorder="1" applyAlignment="1">
      <alignment horizontal="left" vertical="center"/>
    </xf>
    <xf numFmtId="0" fontId="10" fillId="0" borderId="0" xfId="0" applyFont="1"/>
    <xf numFmtId="0" fontId="10" fillId="0" borderId="6" xfId="0" applyFont="1" applyBorder="1" applyAlignment="1">
      <alignment horizontal="left" vertical="center" wrapText="1"/>
    </xf>
    <xf numFmtId="9" fontId="10" fillId="0" borderId="40" xfId="0" applyNumberFormat="1" applyFont="1" applyBorder="1" applyAlignment="1">
      <alignment vertical="center"/>
    </xf>
    <xf numFmtId="9" fontId="10" fillId="20" borderId="40" xfId="0" applyNumberFormat="1" applyFont="1" applyFill="1" applyBorder="1" applyAlignment="1">
      <alignment vertical="center"/>
    </xf>
    <xf numFmtId="0" fontId="12" fillId="0" borderId="0" xfId="0" applyFont="1" applyAlignment="1">
      <alignment horizontal="center" vertical="center"/>
    </xf>
    <xf numFmtId="0" fontId="20" fillId="5" borderId="40" xfId="2" applyFont="1" applyFill="1" applyBorder="1" applyAlignment="1">
      <alignment vertical="center"/>
    </xf>
    <xf numFmtId="0" fontId="19" fillId="5" borderId="40" xfId="2" applyFont="1" applyFill="1" applyBorder="1" applyAlignment="1">
      <alignment horizontal="center" vertical="center"/>
    </xf>
    <xf numFmtId="0" fontId="19" fillId="5" borderId="40" xfId="2" applyFont="1" applyFill="1" applyBorder="1" applyAlignment="1">
      <alignment vertical="center"/>
    </xf>
    <xf numFmtId="0" fontId="33" fillId="0" borderId="0" xfId="1" applyFont="1">
      <alignment vertical="center"/>
    </xf>
    <xf numFmtId="9" fontId="10" fillId="20" borderId="42" xfId="0" applyNumberFormat="1" applyFont="1" applyFill="1" applyBorder="1" applyAlignment="1">
      <alignment vertical="center"/>
    </xf>
    <xf numFmtId="0" fontId="3" fillId="0" borderId="0" xfId="0" applyFont="1" applyAlignment="1">
      <alignment horizontal="center" vertical="center" wrapText="1" readingOrder="1"/>
    </xf>
    <xf numFmtId="0" fontId="18" fillId="5" borderId="40" xfId="1" applyFont="1" applyFill="1" applyBorder="1">
      <alignment vertical="center"/>
    </xf>
    <xf numFmtId="0" fontId="36" fillId="0" borderId="0" xfId="0" applyFont="1" applyAlignment="1">
      <alignment horizontal="right"/>
    </xf>
    <xf numFmtId="0" fontId="40" fillId="0" borderId="0" xfId="0" applyFont="1" applyAlignment="1">
      <alignment horizontal="right" vertical="center"/>
    </xf>
    <xf numFmtId="0" fontId="41" fillId="0" borderId="0" xfId="0" applyFont="1" applyAlignment="1">
      <alignment horizontal="right"/>
    </xf>
    <xf numFmtId="0" fontId="3" fillId="17" borderId="6" xfId="0" applyFont="1" applyFill="1" applyBorder="1" applyAlignment="1">
      <alignment horizontal="center" vertical="center" wrapText="1" readingOrder="1"/>
    </xf>
    <xf numFmtId="0" fontId="0" fillId="17" borderId="6" xfId="0" applyFill="1" applyBorder="1"/>
    <xf numFmtId="14" fontId="43" fillId="10" borderId="6" xfId="0" applyNumberFormat="1" applyFont="1" applyFill="1" applyBorder="1" applyAlignment="1">
      <alignment horizontal="center" vertical="center"/>
    </xf>
    <xf numFmtId="0" fontId="20" fillId="11" borderId="40" xfId="2" applyFont="1" applyFill="1" applyBorder="1" applyAlignment="1">
      <alignment horizontal="center" vertical="center"/>
    </xf>
    <xf numFmtId="0" fontId="20" fillId="11" borderId="52" xfId="2" applyFont="1" applyFill="1" applyBorder="1" applyAlignment="1">
      <alignment horizontal="center" vertical="center"/>
    </xf>
    <xf numFmtId="0" fontId="20" fillId="11" borderId="42" xfId="2" applyFont="1" applyFill="1" applyBorder="1" applyAlignment="1">
      <alignment horizontal="center" vertical="center"/>
    </xf>
    <xf numFmtId="9" fontId="10" fillId="19" borderId="39" xfId="0" applyNumberFormat="1" applyFont="1" applyFill="1" applyBorder="1" applyAlignment="1">
      <alignment vertical="center"/>
    </xf>
    <xf numFmtId="9" fontId="10" fillId="19" borderId="8" xfId="0" applyNumberFormat="1" applyFont="1" applyFill="1" applyBorder="1" applyAlignment="1">
      <alignment vertical="center"/>
    </xf>
    <xf numFmtId="9" fontId="10" fillId="19" borderId="17" xfId="0" applyNumberFormat="1" applyFont="1" applyFill="1" applyBorder="1" applyAlignment="1">
      <alignment vertical="center"/>
    </xf>
    <xf numFmtId="9" fontId="10" fillId="19" borderId="35" xfId="0" applyNumberFormat="1" applyFont="1" applyFill="1" applyBorder="1" applyAlignment="1">
      <alignment vertical="center"/>
    </xf>
    <xf numFmtId="9" fontId="10" fillId="20" borderId="44" xfId="0" applyNumberFormat="1" applyFont="1" applyFill="1" applyBorder="1" applyAlignment="1">
      <alignment vertical="center"/>
    </xf>
    <xf numFmtId="9" fontId="10" fillId="20" borderId="43" xfId="0" applyNumberFormat="1" applyFont="1" applyFill="1" applyBorder="1" applyAlignment="1">
      <alignment vertical="center"/>
    </xf>
    <xf numFmtId="9" fontId="10" fillId="0" borderId="43" xfId="0" applyNumberFormat="1" applyFont="1" applyBorder="1" applyAlignment="1">
      <alignment vertical="center"/>
    </xf>
    <xf numFmtId="9" fontId="10" fillId="5" borderId="43" xfId="0" applyNumberFormat="1" applyFont="1" applyFill="1" applyBorder="1" applyAlignment="1">
      <alignment vertical="center"/>
    </xf>
    <xf numFmtId="0" fontId="0" fillId="5" borderId="43" xfId="0" applyFill="1" applyBorder="1" applyAlignment="1">
      <alignment vertical="center"/>
    </xf>
    <xf numFmtId="0" fontId="38" fillId="20" borderId="59" xfId="0" applyFont="1" applyFill="1" applyBorder="1" applyAlignment="1">
      <alignment vertical="center"/>
    </xf>
    <xf numFmtId="9" fontId="10" fillId="8" borderId="46" xfId="0" applyNumberFormat="1" applyFont="1" applyFill="1" applyBorder="1" applyAlignment="1">
      <alignment vertical="center"/>
    </xf>
    <xf numFmtId="9" fontId="10" fillId="20" borderId="48" xfId="0" applyNumberFormat="1" applyFont="1" applyFill="1" applyBorder="1" applyAlignment="1">
      <alignment vertical="center"/>
    </xf>
    <xf numFmtId="9" fontId="10" fillId="0" borderId="48" xfId="0" applyNumberFormat="1" applyFont="1" applyBorder="1" applyAlignment="1">
      <alignment vertical="center"/>
    </xf>
    <xf numFmtId="0" fontId="19" fillId="5" borderId="48" xfId="2" applyFont="1" applyFill="1" applyBorder="1" applyAlignment="1">
      <alignment vertical="center"/>
    </xf>
    <xf numFmtId="0" fontId="20" fillId="5" borderId="52" xfId="2" applyFont="1" applyFill="1" applyBorder="1" applyAlignment="1">
      <alignment vertical="center"/>
    </xf>
    <xf numFmtId="9" fontId="10" fillId="8" borderId="45" xfId="0" applyNumberFormat="1" applyFont="1" applyFill="1" applyBorder="1" applyAlignment="1">
      <alignment vertical="center"/>
    </xf>
    <xf numFmtId="9" fontId="10" fillId="20" borderId="54" xfId="0" applyNumberFormat="1" applyFont="1" applyFill="1" applyBorder="1" applyAlignment="1">
      <alignment vertical="center"/>
    </xf>
    <xf numFmtId="0" fontId="26" fillId="5" borderId="48" xfId="2" applyFont="1" applyFill="1" applyBorder="1" applyAlignment="1">
      <alignment horizontal="center" vertical="center"/>
    </xf>
    <xf numFmtId="0" fontId="26" fillId="5" borderId="48" xfId="2" applyFont="1" applyFill="1" applyBorder="1" applyAlignment="1">
      <alignment vertical="center"/>
    </xf>
    <xf numFmtId="0" fontId="19" fillId="5" borderId="52" xfId="2" applyFont="1" applyFill="1" applyBorder="1" applyAlignment="1">
      <alignment vertical="center"/>
    </xf>
    <xf numFmtId="0" fontId="19" fillId="5" borderId="52" xfId="2" applyFont="1" applyFill="1" applyBorder="1" applyAlignment="1">
      <alignment horizontal="center" vertical="center"/>
    </xf>
    <xf numFmtId="0" fontId="26" fillId="5" borderId="53" xfId="2" applyFont="1" applyFill="1" applyBorder="1" applyAlignment="1">
      <alignment vertical="center"/>
    </xf>
    <xf numFmtId="0" fontId="18" fillId="20" borderId="62" xfId="1" applyFont="1" applyFill="1" applyBorder="1" applyAlignment="1">
      <alignment horizontal="center" vertical="center"/>
    </xf>
    <xf numFmtId="0" fontId="18" fillId="5" borderId="62" xfId="1" applyFont="1" applyFill="1" applyBorder="1" applyAlignment="1">
      <alignment horizontal="center" vertical="center"/>
    </xf>
    <xf numFmtId="0" fontId="11" fillId="5" borderId="62" xfId="1" applyFont="1" applyFill="1" applyBorder="1" applyAlignment="1">
      <alignment horizontal="center" vertical="center"/>
    </xf>
    <xf numFmtId="0" fontId="11" fillId="20" borderId="62" xfId="1" applyFont="1" applyFill="1" applyBorder="1" applyAlignment="1">
      <alignment horizontal="center" vertical="center"/>
    </xf>
    <xf numFmtId="0" fontId="11" fillId="5" borderId="63" xfId="1" applyFont="1" applyFill="1" applyBorder="1" applyAlignment="1">
      <alignment horizontal="center" vertical="center"/>
    </xf>
    <xf numFmtId="9" fontId="10" fillId="8" borderId="64" xfId="0" applyNumberFormat="1" applyFont="1" applyFill="1" applyBorder="1" applyAlignment="1">
      <alignment vertical="center"/>
    </xf>
    <xf numFmtId="9" fontId="10" fillId="5" borderId="67" xfId="0" applyNumberFormat="1" applyFont="1" applyFill="1" applyBorder="1" applyAlignment="1">
      <alignment vertical="center"/>
    </xf>
    <xf numFmtId="0" fontId="18" fillId="20" borderId="69" xfId="1" applyFont="1" applyFill="1" applyBorder="1" applyAlignment="1">
      <alignment horizontal="center" vertical="center"/>
    </xf>
    <xf numFmtId="0" fontId="11" fillId="5" borderId="61" xfId="1" applyFont="1" applyFill="1" applyBorder="1" applyAlignment="1">
      <alignment horizontal="center" vertical="center"/>
    </xf>
    <xf numFmtId="0" fontId="38" fillId="20" borderId="65" xfId="0" applyFont="1" applyFill="1" applyBorder="1" applyAlignment="1">
      <alignment vertical="center"/>
    </xf>
    <xf numFmtId="0" fontId="18" fillId="20" borderId="66" xfId="1" applyFont="1" applyFill="1" applyBorder="1" applyAlignment="1">
      <alignment horizontal="center" vertical="center"/>
    </xf>
    <xf numFmtId="0" fontId="44" fillId="8" borderId="71" xfId="0" quotePrefix="1" applyFont="1" applyFill="1" applyBorder="1" applyAlignment="1">
      <alignment horizontal="center" vertical="center"/>
    </xf>
    <xf numFmtId="0" fontId="44" fillId="8" borderId="72" xfId="0" quotePrefix="1" applyFont="1" applyFill="1" applyBorder="1" applyAlignment="1">
      <alignment horizontal="center" vertical="center"/>
    </xf>
    <xf numFmtId="9" fontId="44" fillId="8" borderId="73" xfId="0" quotePrefix="1" applyNumberFormat="1" applyFont="1" applyFill="1" applyBorder="1" applyAlignment="1">
      <alignment horizontal="center" vertical="center"/>
    </xf>
    <xf numFmtId="9" fontId="44" fillId="8" borderId="71" xfId="0" quotePrefix="1" applyNumberFormat="1" applyFont="1" applyFill="1" applyBorder="1" applyAlignment="1">
      <alignment horizontal="center" vertical="center"/>
    </xf>
    <xf numFmtId="9" fontId="44" fillId="8" borderId="72" xfId="0" quotePrefix="1" applyNumberFormat="1" applyFont="1" applyFill="1" applyBorder="1" applyAlignment="1">
      <alignment horizontal="center" vertical="center"/>
    </xf>
    <xf numFmtId="9" fontId="44" fillId="8" borderId="75" xfId="0" quotePrefix="1" applyNumberFormat="1" applyFont="1" applyFill="1" applyBorder="1" applyAlignment="1">
      <alignment horizontal="center" vertical="center"/>
    </xf>
    <xf numFmtId="0" fontId="37" fillId="8" borderId="71" xfId="0" applyFont="1" applyFill="1" applyBorder="1" applyAlignment="1">
      <alignment horizontal="center" vertical="center"/>
    </xf>
    <xf numFmtId="0" fontId="37" fillId="8" borderId="72" xfId="0" applyFont="1" applyFill="1" applyBorder="1" applyAlignment="1">
      <alignment horizontal="center" vertical="center"/>
    </xf>
    <xf numFmtId="0" fontId="37" fillId="8" borderId="73" xfId="0" applyFont="1" applyFill="1" applyBorder="1" applyAlignment="1">
      <alignment horizontal="center" vertical="center"/>
    </xf>
    <xf numFmtId="0" fontId="37" fillId="8" borderId="74" xfId="0" applyFont="1" applyFill="1" applyBorder="1" applyAlignment="1">
      <alignment horizontal="center" vertical="center"/>
    </xf>
    <xf numFmtId="14" fontId="43" fillId="10" borderId="8" xfId="0" applyNumberFormat="1" applyFont="1" applyFill="1" applyBorder="1" applyAlignment="1">
      <alignment horizontal="center" vertical="center"/>
    </xf>
    <xf numFmtId="0" fontId="39" fillId="17" borderId="11" xfId="0" applyFont="1" applyFill="1" applyBorder="1" applyAlignment="1">
      <alignment horizontal="center" vertical="center"/>
    </xf>
    <xf numFmtId="0" fontId="46" fillId="21" borderId="71" xfId="0" applyFont="1" applyFill="1" applyBorder="1" applyAlignment="1">
      <alignment horizontal="center" vertical="center" wrapText="1" readingOrder="1"/>
    </xf>
    <xf numFmtId="0" fontId="46" fillId="21" borderId="72" xfId="0" applyFont="1" applyFill="1" applyBorder="1" applyAlignment="1">
      <alignment horizontal="center" vertical="center" wrapText="1" readingOrder="1"/>
    </xf>
    <xf numFmtId="14" fontId="43" fillId="10" borderId="77" xfId="0" applyNumberFormat="1" applyFont="1" applyFill="1" applyBorder="1" applyAlignment="1">
      <alignment horizontal="center" vertical="center"/>
    </xf>
    <xf numFmtId="14" fontId="43" fillId="10" borderId="78" xfId="0" applyNumberFormat="1" applyFont="1" applyFill="1" applyBorder="1" applyAlignment="1">
      <alignment horizontal="center" vertical="center"/>
    </xf>
    <xf numFmtId="14" fontId="43" fillId="10" borderId="79" xfId="0" applyNumberFormat="1" applyFont="1" applyFill="1" applyBorder="1" applyAlignment="1">
      <alignment horizontal="center" vertical="center"/>
    </xf>
    <xf numFmtId="0" fontId="47" fillId="21" borderId="73" xfId="0" applyFont="1" applyFill="1" applyBorder="1" applyAlignment="1">
      <alignment horizontal="center" vertical="center"/>
    </xf>
    <xf numFmtId="0" fontId="38" fillId="0" borderId="65" xfId="0" applyFont="1" applyBorder="1" applyAlignment="1">
      <alignment vertical="center"/>
    </xf>
    <xf numFmtId="0" fontId="38" fillId="0" borderId="59" xfId="0" applyFont="1" applyBorder="1" applyAlignment="1">
      <alignment vertical="center"/>
    </xf>
    <xf numFmtId="0" fontId="38" fillId="0" borderId="60" xfId="0" applyFont="1" applyBorder="1" applyAlignment="1">
      <alignment vertical="center"/>
    </xf>
    <xf numFmtId="0" fontId="37" fillId="10" borderId="76" xfId="0" applyFont="1" applyFill="1" applyBorder="1" applyAlignment="1">
      <alignment horizontal="center" vertical="center"/>
    </xf>
    <xf numFmtId="14" fontId="43" fillId="10" borderId="74" xfId="0" applyNumberFormat="1" applyFont="1" applyFill="1" applyBorder="1" applyAlignment="1">
      <alignment horizontal="center" vertical="center"/>
    </xf>
    <xf numFmtId="14" fontId="43" fillId="10" borderId="91" xfId="0" applyNumberFormat="1" applyFont="1" applyFill="1" applyBorder="1" applyAlignment="1">
      <alignment horizontal="center" vertical="center"/>
    </xf>
    <xf numFmtId="0" fontId="51" fillId="0" borderId="65" xfId="0" applyFont="1" applyBorder="1" applyAlignment="1">
      <alignment vertical="center"/>
    </xf>
    <xf numFmtId="9" fontId="10" fillId="19" borderId="0" xfId="0" applyNumberFormat="1" applyFont="1" applyFill="1" applyAlignment="1">
      <alignment vertical="center"/>
    </xf>
    <xf numFmtId="0" fontId="20" fillId="11" borderId="41" xfId="2" applyFont="1" applyFill="1" applyBorder="1" applyAlignment="1">
      <alignment horizontal="center" vertical="center"/>
    </xf>
    <xf numFmtId="0" fontId="38" fillId="0" borderId="68" xfId="0" applyFont="1" applyBorder="1" applyAlignment="1">
      <alignment vertical="center"/>
    </xf>
    <xf numFmtId="10" fontId="10" fillId="6" borderId="92" xfId="0" applyNumberFormat="1" applyFont="1" applyFill="1" applyBorder="1" applyAlignment="1">
      <alignment horizontal="center" vertical="center"/>
    </xf>
    <xf numFmtId="10" fontId="10" fillId="6" borderId="93" xfId="0" applyNumberFormat="1" applyFont="1" applyFill="1" applyBorder="1" applyAlignment="1">
      <alignment horizontal="center" vertical="center"/>
    </xf>
    <xf numFmtId="10" fontId="10" fillId="6" borderId="94" xfId="0" applyNumberFormat="1" applyFont="1" applyFill="1" applyBorder="1" applyAlignment="1">
      <alignment horizontal="center" vertical="center"/>
    </xf>
    <xf numFmtId="176" fontId="10" fillId="20" borderId="59" xfId="0" applyNumberFormat="1" applyFont="1" applyFill="1" applyBorder="1" applyAlignment="1">
      <alignment horizontal="center" vertical="center"/>
    </xf>
    <xf numFmtId="176" fontId="10" fillId="19" borderId="83" xfId="0" applyNumberFormat="1" applyFont="1" applyFill="1" applyBorder="1" applyAlignment="1">
      <alignment horizontal="center" vertical="center"/>
    </xf>
    <xf numFmtId="176" fontId="10" fillId="19" borderId="13" xfId="3" applyNumberFormat="1" applyFont="1" applyFill="1" applyBorder="1" applyAlignment="1">
      <alignment horizontal="center" vertical="center"/>
    </xf>
    <xf numFmtId="176" fontId="20" fillId="19" borderId="13" xfId="0" applyNumberFormat="1" applyFont="1" applyFill="1" applyBorder="1" applyAlignment="1">
      <alignment horizontal="center" vertical="center"/>
    </xf>
    <xf numFmtId="176" fontId="10" fillId="19" borderId="85" xfId="0" applyNumberFormat="1" applyFont="1" applyFill="1" applyBorder="1" applyAlignment="1">
      <alignment horizontal="center" vertical="center"/>
    </xf>
    <xf numFmtId="176" fontId="10" fillId="19" borderId="6" xfId="0" applyNumberFormat="1" applyFont="1" applyFill="1" applyBorder="1" applyAlignment="1">
      <alignment horizontal="center" vertical="center"/>
    </xf>
    <xf numFmtId="176" fontId="20" fillId="19" borderId="6" xfId="0" applyNumberFormat="1" applyFont="1" applyFill="1" applyBorder="1" applyAlignment="1">
      <alignment horizontal="center" vertical="center"/>
    </xf>
    <xf numFmtId="176" fontId="10" fillId="19" borderId="7" xfId="0" applyNumberFormat="1" applyFont="1" applyFill="1" applyBorder="1" applyAlignment="1">
      <alignment horizontal="center" vertical="center"/>
    </xf>
    <xf numFmtId="176" fontId="10" fillId="19" borderId="87" xfId="0" applyNumberFormat="1" applyFont="1" applyFill="1" applyBorder="1" applyAlignment="1">
      <alignment horizontal="center" vertical="center"/>
    </xf>
    <xf numFmtId="176" fontId="10" fillId="19" borderId="11" xfId="0" applyNumberFormat="1" applyFont="1" applyFill="1" applyBorder="1" applyAlignment="1">
      <alignment horizontal="center" vertical="center"/>
    </xf>
    <xf numFmtId="176" fontId="20" fillId="19" borderId="11" xfId="0" applyNumberFormat="1" applyFont="1" applyFill="1" applyBorder="1" applyAlignment="1">
      <alignment horizontal="center" vertical="center"/>
    </xf>
    <xf numFmtId="176" fontId="10" fillId="19" borderId="88" xfId="0" applyNumberFormat="1" applyFont="1" applyFill="1" applyBorder="1" applyAlignment="1">
      <alignment horizontal="center" vertical="center"/>
    </xf>
    <xf numFmtId="176" fontId="10" fillId="19" borderId="89" xfId="0" applyNumberFormat="1" applyFont="1" applyFill="1" applyBorder="1" applyAlignment="1">
      <alignment horizontal="center" vertical="center"/>
    </xf>
    <xf numFmtId="176" fontId="10" fillId="19" borderId="19" xfId="0" applyNumberFormat="1" applyFont="1" applyFill="1" applyBorder="1" applyAlignment="1">
      <alignment horizontal="center" vertical="center"/>
    </xf>
    <xf numFmtId="176" fontId="10" fillId="19" borderId="90" xfId="0" applyNumberFormat="1" applyFont="1" applyFill="1" applyBorder="1" applyAlignment="1">
      <alignment horizontal="center" vertical="center"/>
    </xf>
    <xf numFmtId="176" fontId="10" fillId="19" borderId="29" xfId="0" applyNumberFormat="1" applyFont="1" applyFill="1" applyBorder="1" applyAlignment="1">
      <alignment horizontal="center" vertical="center"/>
    </xf>
    <xf numFmtId="176" fontId="20" fillId="19" borderId="87" xfId="0" applyNumberFormat="1" applyFont="1" applyFill="1" applyBorder="1" applyAlignment="1">
      <alignment horizontal="center" vertical="center"/>
    </xf>
    <xf numFmtId="176" fontId="45" fillId="19" borderId="11" xfId="0" applyNumberFormat="1" applyFont="1" applyFill="1" applyBorder="1" applyAlignment="1">
      <alignment horizontal="center" vertical="center"/>
    </xf>
    <xf numFmtId="176" fontId="20" fillId="19" borderId="88" xfId="0" applyNumberFormat="1" applyFont="1" applyFill="1" applyBorder="1" applyAlignment="1">
      <alignment horizontal="center" vertical="center"/>
    </xf>
    <xf numFmtId="176" fontId="20" fillId="19" borderId="18" xfId="0" applyNumberFormat="1" applyFont="1" applyFill="1" applyBorder="1" applyAlignment="1">
      <alignment horizontal="center" vertical="center"/>
    </xf>
    <xf numFmtId="176" fontId="20" fillId="19" borderId="19" xfId="0" applyNumberFormat="1" applyFont="1" applyFill="1" applyBorder="1" applyAlignment="1">
      <alignment horizontal="center" vertical="center"/>
    </xf>
    <xf numFmtId="176" fontId="45" fillId="19" borderId="19" xfId="0" applyNumberFormat="1" applyFont="1" applyFill="1" applyBorder="1" applyAlignment="1">
      <alignment horizontal="center" vertical="center"/>
    </xf>
    <xf numFmtId="176" fontId="20" fillId="19" borderId="29" xfId="0" applyNumberFormat="1" applyFont="1" applyFill="1" applyBorder="1" applyAlignment="1">
      <alignment horizontal="center" vertical="center"/>
    </xf>
    <xf numFmtId="176" fontId="10" fillId="19" borderId="18" xfId="0" applyNumberFormat="1" applyFont="1" applyFill="1" applyBorder="1" applyAlignment="1">
      <alignment horizontal="center" vertical="center"/>
    </xf>
    <xf numFmtId="176" fontId="10" fillId="19" borderId="20" xfId="0" applyNumberFormat="1" applyFont="1" applyFill="1" applyBorder="1" applyAlignment="1">
      <alignment horizontal="center" vertical="center"/>
    </xf>
    <xf numFmtId="176" fontId="20" fillId="19" borderId="21" xfId="0" applyNumberFormat="1" applyFont="1" applyFill="1" applyBorder="1" applyAlignment="1">
      <alignment horizontal="center" vertical="center"/>
    </xf>
    <xf numFmtId="176" fontId="45" fillId="19" borderId="6" xfId="0" applyNumberFormat="1" applyFont="1" applyFill="1" applyBorder="1" applyAlignment="1">
      <alignment horizontal="center" vertical="center"/>
    </xf>
    <xf numFmtId="176" fontId="20" fillId="19" borderId="7" xfId="0" applyNumberFormat="1" applyFont="1" applyFill="1" applyBorder="1" applyAlignment="1">
      <alignment horizontal="center" vertical="center"/>
    </xf>
    <xf numFmtId="176" fontId="10" fillId="19" borderId="21" xfId="0" applyNumberFormat="1" applyFont="1" applyFill="1" applyBorder="1" applyAlignment="1">
      <alignment horizontal="center" vertical="center"/>
    </xf>
    <xf numFmtId="176" fontId="10" fillId="19" borderId="22" xfId="0" applyNumberFormat="1" applyFont="1" applyFill="1" applyBorder="1" applyAlignment="1">
      <alignment horizontal="center" vertical="center"/>
    </xf>
    <xf numFmtId="176" fontId="20" fillId="19" borderId="23" xfId="0" applyNumberFormat="1" applyFont="1" applyFill="1" applyBorder="1" applyAlignment="1">
      <alignment horizontal="center" vertical="center"/>
    </xf>
    <xf numFmtId="176" fontId="20" fillId="19" borderId="24" xfId="0" applyNumberFormat="1" applyFont="1" applyFill="1" applyBorder="1" applyAlignment="1">
      <alignment horizontal="center" vertical="center"/>
    </xf>
    <xf numFmtId="176" fontId="45" fillId="19" borderId="24" xfId="0" applyNumberFormat="1" applyFont="1" applyFill="1" applyBorder="1" applyAlignment="1">
      <alignment horizontal="center" vertical="center"/>
    </xf>
    <xf numFmtId="176" fontId="20" fillId="19" borderId="30" xfId="0" applyNumberFormat="1" applyFont="1" applyFill="1" applyBorder="1" applyAlignment="1">
      <alignment horizontal="center" vertical="center"/>
    </xf>
    <xf numFmtId="176" fontId="10" fillId="19" borderId="24" xfId="0" applyNumberFormat="1" applyFont="1" applyFill="1" applyBorder="1" applyAlignment="1">
      <alignment horizontal="center" vertical="center"/>
    </xf>
    <xf numFmtId="176" fontId="10" fillId="19" borderId="30" xfId="0" applyNumberFormat="1" applyFont="1" applyFill="1" applyBorder="1" applyAlignment="1">
      <alignment horizontal="center" vertical="center"/>
    </xf>
    <xf numFmtId="176" fontId="10" fillId="19" borderId="23" xfId="0" applyNumberFormat="1" applyFont="1" applyFill="1" applyBorder="1" applyAlignment="1">
      <alignment horizontal="center" vertical="center"/>
    </xf>
    <xf numFmtId="176" fontId="10" fillId="19" borderId="25" xfId="0" applyNumberFormat="1" applyFont="1" applyFill="1" applyBorder="1" applyAlignment="1">
      <alignment horizontal="center" vertical="center"/>
    </xf>
    <xf numFmtId="176" fontId="10" fillId="20" borderId="49" xfId="0" applyNumberFormat="1" applyFont="1" applyFill="1" applyBorder="1" applyAlignment="1">
      <alignment horizontal="center" vertical="center"/>
    </xf>
    <xf numFmtId="176" fontId="10" fillId="20" borderId="42" xfId="0" applyNumberFormat="1" applyFont="1" applyFill="1" applyBorder="1" applyAlignment="1">
      <alignment horizontal="center" vertical="center"/>
    </xf>
    <xf numFmtId="176" fontId="20" fillId="20" borderId="42" xfId="0" applyNumberFormat="1" applyFont="1" applyFill="1" applyBorder="1" applyAlignment="1">
      <alignment horizontal="center" vertical="center"/>
    </xf>
    <xf numFmtId="176" fontId="10" fillId="20" borderId="65" xfId="0" applyNumberFormat="1" applyFont="1" applyFill="1" applyBorder="1" applyAlignment="1">
      <alignment horizontal="center" vertical="center"/>
    </xf>
    <xf numFmtId="176" fontId="10" fillId="20" borderId="54" xfId="0" applyNumberFormat="1" applyFont="1" applyFill="1" applyBorder="1" applyAlignment="1">
      <alignment horizontal="center" vertical="center"/>
    </xf>
    <xf numFmtId="176" fontId="10" fillId="20" borderId="56" xfId="0" applyNumberFormat="1" applyFont="1" applyFill="1" applyBorder="1" applyAlignment="1">
      <alignment horizontal="center" vertical="center"/>
    </xf>
    <xf numFmtId="176" fontId="10" fillId="20" borderId="40" xfId="0" applyNumberFormat="1" applyFont="1" applyFill="1" applyBorder="1" applyAlignment="1">
      <alignment horizontal="center" vertical="center"/>
    </xf>
    <xf numFmtId="176" fontId="10" fillId="20" borderId="48" xfId="0" applyNumberFormat="1" applyFont="1" applyFill="1" applyBorder="1" applyAlignment="1">
      <alignment horizontal="center" vertical="center"/>
    </xf>
    <xf numFmtId="176" fontId="42" fillId="20" borderId="40" xfId="0" applyNumberFormat="1" applyFont="1" applyFill="1" applyBorder="1" applyAlignment="1">
      <alignment horizontal="center" vertical="center"/>
    </xf>
    <xf numFmtId="176" fontId="45" fillId="20" borderId="40" xfId="0" applyNumberFormat="1" applyFont="1" applyFill="1" applyBorder="1" applyAlignment="1">
      <alignment horizontal="center" vertical="center"/>
    </xf>
    <xf numFmtId="176" fontId="10" fillId="0" borderId="56" xfId="0" applyNumberFormat="1" applyFont="1" applyBorder="1" applyAlignment="1">
      <alignment horizontal="center" vertical="center"/>
    </xf>
    <xf numFmtId="176" fontId="10" fillId="0" borderId="40" xfId="0" applyNumberFormat="1" applyFont="1" applyBorder="1" applyAlignment="1">
      <alignment horizontal="center" vertical="center"/>
    </xf>
    <xf numFmtId="176" fontId="10" fillId="0" borderId="59" xfId="0" applyNumberFormat="1" applyFont="1" applyBorder="1" applyAlignment="1">
      <alignment horizontal="center" vertical="center"/>
    </xf>
    <xf numFmtId="176" fontId="10" fillId="0" borderId="48" xfId="0" applyNumberFormat="1" applyFont="1" applyBorder="1" applyAlignment="1">
      <alignment horizontal="center" vertical="center"/>
    </xf>
    <xf numFmtId="176" fontId="20" fillId="20" borderId="40" xfId="0" applyNumberFormat="1" applyFont="1" applyFill="1" applyBorder="1" applyAlignment="1">
      <alignment horizontal="center" vertical="center"/>
    </xf>
    <xf numFmtId="176" fontId="10" fillId="20" borderId="50" xfId="0" applyNumberFormat="1" applyFont="1" applyFill="1" applyBorder="1" applyAlignment="1">
      <alignment horizontal="center" vertical="center"/>
    </xf>
    <xf numFmtId="176" fontId="10" fillId="20" borderId="41" xfId="0" applyNumberFormat="1" applyFont="1" applyFill="1" applyBorder="1" applyAlignment="1">
      <alignment horizontal="center" vertical="center"/>
    </xf>
    <xf numFmtId="176" fontId="20" fillId="20" borderId="41" xfId="0" applyNumberFormat="1" applyFont="1" applyFill="1" applyBorder="1" applyAlignment="1">
      <alignment horizontal="center" vertical="center"/>
    </xf>
    <xf numFmtId="176" fontId="10" fillId="20" borderId="68" xfId="0" applyNumberFormat="1" applyFont="1" applyFill="1" applyBorder="1" applyAlignment="1">
      <alignment horizontal="center" vertical="center"/>
    </xf>
    <xf numFmtId="176" fontId="10" fillId="20" borderId="70" xfId="0" applyNumberFormat="1" applyFont="1" applyFill="1" applyBorder="1" applyAlignment="1">
      <alignment horizontal="center" vertical="center"/>
    </xf>
    <xf numFmtId="176" fontId="10" fillId="5" borderId="55" xfId="0" applyNumberFormat="1" applyFont="1" applyFill="1" applyBorder="1" applyAlignment="1">
      <alignment horizontal="center" vertical="center"/>
    </xf>
    <xf numFmtId="176" fontId="10" fillId="5" borderId="45" xfId="0" applyNumberFormat="1" applyFont="1" applyFill="1" applyBorder="1" applyAlignment="1">
      <alignment horizontal="center" vertical="center"/>
    </xf>
    <xf numFmtId="176" fontId="10" fillId="0" borderId="58" xfId="0" applyNumberFormat="1" applyFont="1" applyBorder="1" applyAlignment="1">
      <alignment horizontal="center" vertical="center"/>
    </xf>
    <xf numFmtId="176" fontId="10" fillId="0" borderId="55" xfId="0" applyNumberFormat="1" applyFont="1" applyBorder="1" applyAlignment="1">
      <alignment horizontal="center" vertical="center"/>
    </xf>
    <xf numFmtId="176" fontId="10" fillId="0" borderId="45" xfId="0" applyNumberFormat="1" applyFont="1" applyBorder="1" applyAlignment="1">
      <alignment horizontal="center" vertical="center"/>
    </xf>
    <xf numFmtId="176" fontId="10" fillId="0" borderId="46" xfId="0" applyNumberFormat="1" applyFont="1" applyBorder="1" applyAlignment="1">
      <alignment horizontal="center" vertical="center"/>
    </xf>
    <xf numFmtId="176" fontId="10" fillId="5" borderId="56" xfId="0" applyNumberFormat="1" applyFont="1" applyFill="1" applyBorder="1" applyAlignment="1">
      <alignment horizontal="center" vertical="center"/>
    </xf>
    <xf numFmtId="176" fontId="10" fillId="5" borderId="40" xfId="0" applyNumberFormat="1" applyFont="1" applyFill="1" applyBorder="1" applyAlignment="1">
      <alignment horizontal="center" vertical="center"/>
    </xf>
    <xf numFmtId="176" fontId="0" fillId="5" borderId="40" xfId="0" applyNumberFormat="1" applyFill="1" applyBorder="1" applyAlignment="1">
      <alignment horizontal="center" vertical="center"/>
    </xf>
    <xf numFmtId="176" fontId="20" fillId="5" borderId="40" xfId="2" applyNumberFormat="1" applyFont="1" applyFill="1" applyBorder="1" applyAlignment="1">
      <alignment horizontal="center" vertical="center"/>
    </xf>
    <xf numFmtId="176" fontId="19" fillId="5" borderId="56" xfId="2" applyNumberFormat="1" applyFont="1" applyFill="1" applyBorder="1" applyAlignment="1">
      <alignment horizontal="center" vertical="center"/>
    </xf>
    <xf numFmtId="176" fontId="20" fillId="5" borderId="59" xfId="2" applyNumberFormat="1" applyFont="1" applyFill="1" applyBorder="1" applyAlignment="1">
      <alignment horizontal="center" vertical="center"/>
    </xf>
    <xf numFmtId="176" fontId="26" fillId="5" borderId="56" xfId="2" applyNumberFormat="1" applyFont="1" applyFill="1" applyBorder="1" applyAlignment="1">
      <alignment horizontal="center" vertical="center"/>
    </xf>
    <xf numFmtId="176" fontId="10" fillId="5" borderId="48" xfId="0" applyNumberFormat="1" applyFont="1" applyFill="1" applyBorder="1" applyAlignment="1">
      <alignment horizontal="center" vertical="center"/>
    </xf>
    <xf numFmtId="176" fontId="18" fillId="5" borderId="40" xfId="1" applyNumberFormat="1" applyFont="1" applyFill="1" applyBorder="1" applyAlignment="1">
      <alignment horizontal="center" vertical="center"/>
    </xf>
    <xf numFmtId="176" fontId="18" fillId="5" borderId="59" xfId="1" applyNumberFormat="1" applyFont="1" applyFill="1" applyBorder="1" applyAlignment="1">
      <alignment horizontal="center" vertical="center"/>
    </xf>
    <xf numFmtId="176" fontId="10" fillId="5" borderId="57" xfId="0" applyNumberFormat="1" applyFont="1" applyFill="1" applyBorder="1" applyAlignment="1">
      <alignment horizontal="center" vertical="center"/>
    </xf>
    <xf numFmtId="176" fontId="10" fillId="5" borderId="52" xfId="0" applyNumberFormat="1" applyFont="1" applyFill="1" applyBorder="1" applyAlignment="1">
      <alignment horizontal="center" vertical="center"/>
    </xf>
    <xf numFmtId="176" fontId="20" fillId="5" borderId="52" xfId="2" applyNumberFormat="1" applyFont="1" applyFill="1" applyBorder="1" applyAlignment="1">
      <alignment horizontal="center" vertical="center"/>
    </xf>
    <xf numFmtId="176" fontId="19" fillId="5" borderId="57" xfId="2" applyNumberFormat="1" applyFont="1" applyFill="1" applyBorder="1" applyAlignment="1">
      <alignment horizontal="center" vertical="center"/>
    </xf>
    <xf numFmtId="176" fontId="20" fillId="5" borderId="60" xfId="2" applyNumberFormat="1" applyFont="1" applyFill="1" applyBorder="1" applyAlignment="1">
      <alignment horizontal="center" vertical="center"/>
    </xf>
    <xf numFmtId="176" fontId="26" fillId="5" borderId="57" xfId="2" applyNumberFormat="1" applyFont="1" applyFill="1" applyBorder="1" applyAlignment="1">
      <alignment horizontal="center" vertical="center"/>
    </xf>
    <xf numFmtId="176" fontId="10" fillId="5" borderId="53" xfId="0" applyNumberFormat="1" applyFont="1" applyFill="1" applyBorder="1" applyAlignment="1">
      <alignment horizontal="center" vertical="center"/>
    </xf>
    <xf numFmtId="0" fontId="21" fillId="5" borderId="6" xfId="1" applyFont="1" applyFill="1" applyBorder="1" applyAlignment="1">
      <alignment vertical="top"/>
    </xf>
    <xf numFmtId="0" fontId="21" fillId="5" borderId="6" xfId="1" applyFont="1" applyFill="1" applyBorder="1" applyAlignment="1">
      <alignment vertical="top" wrapText="1"/>
    </xf>
    <xf numFmtId="0" fontId="21" fillId="0" borderId="6" xfId="0" applyFont="1" applyBorder="1" applyAlignment="1">
      <alignment vertical="top" wrapText="1"/>
    </xf>
    <xf numFmtId="0" fontId="52" fillId="0" borderId="8" xfId="0" applyFont="1" applyBorder="1" applyAlignment="1">
      <alignment vertical="top" wrapText="1"/>
    </xf>
    <xf numFmtId="0" fontId="0" fillId="0" borderId="0" xfId="0" applyAlignment="1">
      <alignment vertical="top"/>
    </xf>
    <xf numFmtId="0" fontId="21" fillId="0" borderId="13" xfId="0" applyFont="1" applyBorder="1" applyAlignment="1">
      <alignment vertical="top" wrapText="1"/>
    </xf>
    <xf numFmtId="0" fontId="21" fillId="0" borderId="95" xfId="0" applyFont="1" applyBorder="1" applyAlignment="1">
      <alignment vertical="top" wrapText="1" readingOrder="1"/>
    </xf>
    <xf numFmtId="0" fontId="21" fillId="0" borderId="95" xfId="0" applyFont="1" applyBorder="1" applyAlignment="1">
      <alignment vertical="top" wrapText="1"/>
    </xf>
    <xf numFmtId="0" fontId="21" fillId="0" borderId="7" xfId="0" applyFont="1" applyBorder="1" applyAlignment="1">
      <alignment horizontal="left" vertical="top" wrapText="1"/>
    </xf>
    <xf numFmtId="0" fontId="20" fillId="11" borderId="19" xfId="2" applyFont="1" applyFill="1" applyBorder="1" applyAlignment="1">
      <alignment horizontal="center" vertical="center"/>
    </xf>
    <xf numFmtId="0" fontId="20" fillId="11" borderId="6" xfId="2" applyFont="1" applyFill="1" applyBorder="1" applyAlignment="1">
      <alignment horizontal="center" vertical="center"/>
    </xf>
    <xf numFmtId="0" fontId="20" fillId="11" borderId="24" xfId="2" applyFont="1" applyFill="1" applyBorder="1" applyAlignment="1">
      <alignment horizontal="center" vertical="center"/>
    </xf>
    <xf numFmtId="0" fontId="38" fillId="0" borderId="99" xfId="0" applyFont="1" applyBorder="1" applyAlignment="1">
      <alignment vertical="center"/>
    </xf>
    <xf numFmtId="0" fontId="38" fillId="0" borderId="10" xfId="0" applyFont="1" applyBorder="1" applyAlignment="1">
      <alignment vertical="center"/>
    </xf>
    <xf numFmtId="0" fontId="38" fillId="0" borderId="100" xfId="0" applyFont="1" applyBorder="1" applyAlignment="1">
      <alignment vertical="center"/>
    </xf>
    <xf numFmtId="176" fontId="20" fillId="12" borderId="6" xfId="0" applyNumberFormat="1" applyFont="1" applyFill="1" applyBorder="1" applyAlignment="1">
      <alignment horizontal="center" vertical="center"/>
    </xf>
    <xf numFmtId="176" fontId="20" fillId="5" borderId="56" xfId="2" applyNumberFormat="1" applyFont="1" applyFill="1" applyBorder="1" applyAlignment="1">
      <alignment horizontal="center" vertical="center"/>
    </xf>
    <xf numFmtId="0" fontId="10" fillId="0" borderId="0" xfId="0" applyFont="1" applyAlignment="1">
      <alignment vertical="center"/>
    </xf>
    <xf numFmtId="0" fontId="10" fillId="12" borderId="0" xfId="0" applyFont="1" applyFill="1" applyAlignment="1">
      <alignment vertical="center"/>
    </xf>
    <xf numFmtId="0" fontId="56" fillId="23" borderId="0" xfId="0" applyFont="1" applyFill="1" applyAlignment="1">
      <alignment vertical="center"/>
    </xf>
    <xf numFmtId="176" fontId="12" fillId="19" borderId="101" xfId="0" applyNumberFormat="1" applyFont="1" applyFill="1" applyBorder="1" applyAlignment="1">
      <alignment horizontal="center" vertical="center"/>
    </xf>
    <xf numFmtId="176" fontId="12" fillId="19" borderId="102" xfId="0" applyNumberFormat="1" applyFont="1" applyFill="1" applyBorder="1" applyAlignment="1">
      <alignment horizontal="center" vertical="center"/>
    </xf>
    <xf numFmtId="176" fontId="12" fillId="19" borderId="103" xfId="0" applyNumberFormat="1" applyFont="1" applyFill="1" applyBorder="1" applyAlignment="1">
      <alignment horizontal="center" vertical="center"/>
    </xf>
    <xf numFmtId="176" fontId="12" fillId="12" borderId="104" xfId="0" applyNumberFormat="1" applyFont="1" applyFill="1" applyBorder="1" applyAlignment="1">
      <alignment horizontal="center" vertical="center"/>
    </xf>
    <xf numFmtId="176" fontId="12" fillId="12" borderId="105" xfId="0" applyNumberFormat="1" applyFont="1" applyFill="1" applyBorder="1" applyAlignment="1">
      <alignment horizontal="center" vertical="center"/>
    </xf>
    <xf numFmtId="176" fontId="12" fillId="12" borderId="106" xfId="0" applyNumberFormat="1" applyFont="1" applyFill="1" applyBorder="1" applyAlignment="1">
      <alignment horizontal="center" vertical="center"/>
    </xf>
    <xf numFmtId="176" fontId="10" fillId="19" borderId="107" xfId="0" applyNumberFormat="1" applyFont="1" applyFill="1" applyBorder="1" applyAlignment="1">
      <alignment horizontal="center" vertical="center"/>
    </xf>
    <xf numFmtId="176" fontId="10" fillId="19" borderId="108" xfId="0" applyNumberFormat="1" applyFont="1" applyFill="1" applyBorder="1" applyAlignment="1">
      <alignment horizontal="center" vertical="center"/>
    </xf>
    <xf numFmtId="176" fontId="10" fillId="19" borderId="109" xfId="0" applyNumberFormat="1" applyFont="1" applyFill="1" applyBorder="1" applyAlignment="1">
      <alignment horizontal="center" vertical="center"/>
    </xf>
    <xf numFmtId="176" fontId="10" fillId="19" borderId="110" xfId="0" applyNumberFormat="1" applyFont="1" applyFill="1" applyBorder="1" applyAlignment="1">
      <alignment horizontal="center" vertical="center"/>
    </xf>
    <xf numFmtId="176" fontId="10" fillId="19" borderId="111" xfId="0" applyNumberFormat="1" applyFont="1" applyFill="1" applyBorder="1" applyAlignment="1">
      <alignment horizontal="center" vertical="center"/>
    </xf>
    <xf numFmtId="176" fontId="10" fillId="19" borderId="112" xfId="0" applyNumberFormat="1" applyFont="1" applyFill="1" applyBorder="1" applyAlignment="1">
      <alignment horizontal="center" vertical="center"/>
    </xf>
    <xf numFmtId="176" fontId="20" fillId="19" borderId="113" xfId="0" applyNumberFormat="1" applyFont="1" applyFill="1" applyBorder="1" applyAlignment="1">
      <alignment horizontal="center" vertical="center"/>
    </xf>
    <xf numFmtId="176" fontId="10" fillId="19" borderId="114" xfId="0" applyNumberFormat="1" applyFont="1" applyFill="1" applyBorder="1" applyAlignment="1">
      <alignment horizontal="center" vertical="center"/>
    </xf>
    <xf numFmtId="176" fontId="10" fillId="19" borderId="115" xfId="0" applyNumberFormat="1" applyFont="1" applyFill="1" applyBorder="1" applyAlignment="1">
      <alignment horizontal="center" vertical="center"/>
    </xf>
    <xf numFmtId="176" fontId="10" fillId="19" borderId="113" xfId="0" applyNumberFormat="1" applyFont="1" applyFill="1" applyBorder="1" applyAlignment="1">
      <alignment horizontal="center" vertical="center"/>
    </xf>
    <xf numFmtId="14" fontId="43" fillId="10" borderId="91" xfId="0" applyNumberFormat="1" applyFont="1" applyFill="1" applyBorder="1" applyAlignment="1">
      <alignment horizontal="center" vertical="center" wrapText="1"/>
    </xf>
    <xf numFmtId="0" fontId="25" fillId="0" borderId="0" xfId="0" applyFont="1"/>
    <xf numFmtId="0" fontId="13" fillId="0" borderId="0" xfId="0" applyFont="1"/>
    <xf numFmtId="176" fontId="38" fillId="12" borderId="6" xfId="0" applyNumberFormat="1" applyFont="1" applyFill="1" applyBorder="1" applyAlignment="1">
      <alignment horizontal="center" vertical="center"/>
    </xf>
    <xf numFmtId="176" fontId="10" fillId="12" borderId="86" xfId="0" applyNumberFormat="1" applyFont="1" applyFill="1" applyBorder="1" applyAlignment="1">
      <alignment horizontal="center" vertical="center"/>
    </xf>
    <xf numFmtId="176" fontId="10" fillId="12" borderId="104" xfId="0" applyNumberFormat="1" applyFont="1" applyFill="1" applyBorder="1" applyAlignment="1">
      <alignment horizontal="center" vertical="center"/>
    </xf>
    <xf numFmtId="176" fontId="10" fillId="12" borderId="105" xfId="0" applyNumberFormat="1" applyFont="1" applyFill="1" applyBorder="1" applyAlignment="1">
      <alignment horizontal="center" vertical="center"/>
    </xf>
    <xf numFmtId="176" fontId="10" fillId="12" borderId="106" xfId="0" applyNumberFormat="1" applyFont="1" applyFill="1" applyBorder="1" applyAlignment="1">
      <alignment horizontal="center" vertical="center"/>
    </xf>
    <xf numFmtId="176" fontId="10" fillId="20" borderId="116" xfId="0" applyNumberFormat="1" applyFont="1" applyFill="1" applyBorder="1" applyAlignment="1">
      <alignment horizontal="center" vertical="center"/>
    </xf>
    <xf numFmtId="176" fontId="10" fillId="0" borderId="116" xfId="0" applyNumberFormat="1" applyFont="1" applyBorder="1" applyAlignment="1">
      <alignment horizontal="center" vertical="center"/>
    </xf>
    <xf numFmtId="176" fontId="10" fillId="20" borderId="117" xfId="0" applyNumberFormat="1" applyFont="1" applyFill="1" applyBorder="1" applyAlignment="1">
      <alignment horizontal="center" vertical="center"/>
    </xf>
    <xf numFmtId="176" fontId="10" fillId="0" borderId="117" xfId="0" applyNumberFormat="1" applyFont="1" applyBorder="1" applyAlignment="1">
      <alignment horizontal="center" vertical="center"/>
    </xf>
    <xf numFmtId="176" fontId="20" fillId="5" borderId="116" xfId="2" applyNumberFormat="1" applyFont="1" applyFill="1" applyBorder="1" applyAlignment="1">
      <alignment horizontal="center" vertical="center"/>
    </xf>
    <xf numFmtId="176" fontId="10" fillId="0" borderId="43" xfId="0" applyNumberFormat="1" applyFont="1" applyBorder="1" applyAlignment="1">
      <alignment horizontal="center" vertical="center"/>
    </xf>
    <xf numFmtId="176" fontId="10" fillId="19" borderId="84" xfId="0" applyNumberFormat="1" applyFont="1" applyFill="1" applyBorder="1" applyAlignment="1">
      <alignment horizontal="center" vertical="center"/>
    </xf>
    <xf numFmtId="176" fontId="10" fillId="19" borderId="101" xfId="0" applyNumberFormat="1" applyFont="1" applyFill="1" applyBorder="1" applyAlignment="1">
      <alignment horizontal="center" vertical="center"/>
    </xf>
    <xf numFmtId="176" fontId="10" fillId="0" borderId="56" xfId="0" quotePrefix="1" applyNumberFormat="1" applyFont="1" applyBorder="1" applyAlignment="1">
      <alignment horizontal="center" vertical="center"/>
    </xf>
    <xf numFmtId="176" fontId="20" fillId="5" borderId="56" xfId="2" quotePrefix="1" applyNumberFormat="1" applyFont="1" applyFill="1" applyBorder="1" applyAlignment="1">
      <alignment horizontal="center" vertical="center"/>
    </xf>
    <xf numFmtId="176" fontId="10" fillId="20" borderId="56" xfId="0" quotePrefix="1" applyNumberFormat="1" applyFont="1" applyFill="1" applyBorder="1" applyAlignment="1">
      <alignment horizontal="center" vertical="center"/>
    </xf>
    <xf numFmtId="176" fontId="57" fillId="5" borderId="56" xfId="2" applyNumberFormat="1" applyFont="1" applyFill="1" applyBorder="1" applyAlignment="1">
      <alignment horizontal="center" vertical="center"/>
    </xf>
    <xf numFmtId="176" fontId="45" fillId="20" borderId="43" xfId="0" applyNumberFormat="1" applyFont="1" applyFill="1" applyBorder="1" applyAlignment="1">
      <alignment horizontal="center" vertical="center"/>
    </xf>
    <xf numFmtId="176" fontId="45" fillId="20" borderId="116" xfId="0" applyNumberFormat="1" applyFont="1" applyFill="1" applyBorder="1" applyAlignment="1">
      <alignment horizontal="center" vertical="center"/>
    </xf>
    <xf numFmtId="176" fontId="12" fillId="0" borderId="56" xfId="0" applyNumberFormat="1" applyFont="1" applyBorder="1" applyAlignment="1">
      <alignment horizontal="center" vertical="center"/>
    </xf>
    <xf numFmtId="176" fontId="12" fillId="20" borderId="56" xfId="0" applyNumberFormat="1" applyFont="1" applyFill="1" applyBorder="1" applyAlignment="1">
      <alignment horizontal="center" vertical="center"/>
    </xf>
    <xf numFmtId="14" fontId="43" fillId="10" borderId="79" xfId="0" applyNumberFormat="1" applyFont="1" applyFill="1" applyBorder="1" applyAlignment="1">
      <alignment horizontal="center" vertical="center" wrapText="1"/>
    </xf>
    <xf numFmtId="14" fontId="43" fillId="10" borderId="78" xfId="0" applyNumberFormat="1" applyFont="1" applyFill="1" applyBorder="1" applyAlignment="1">
      <alignment horizontal="center" vertical="center" wrapText="1"/>
    </xf>
    <xf numFmtId="14" fontId="43" fillId="10" borderId="77" xfId="0" applyNumberFormat="1" applyFont="1" applyFill="1" applyBorder="1" applyAlignment="1">
      <alignment horizontal="center" vertical="center" wrapText="1"/>
    </xf>
    <xf numFmtId="14" fontId="44" fillId="8" borderId="72" xfId="0" quotePrefix="1" applyNumberFormat="1" applyFont="1" applyFill="1" applyBorder="1" applyAlignment="1">
      <alignment horizontal="center" vertical="center"/>
    </xf>
    <xf numFmtId="176" fontId="10" fillId="20" borderId="121" xfId="0" applyNumberFormat="1" applyFont="1" applyFill="1" applyBorder="1" applyAlignment="1">
      <alignment horizontal="center" vertical="center"/>
    </xf>
    <xf numFmtId="176" fontId="10" fillId="0" borderId="121" xfId="0" applyNumberFormat="1" applyFont="1" applyBorder="1" applyAlignment="1">
      <alignment horizontal="center" vertical="center"/>
    </xf>
    <xf numFmtId="176" fontId="45" fillId="20" borderId="59" xfId="0" applyNumberFormat="1" applyFont="1" applyFill="1" applyBorder="1" applyAlignment="1">
      <alignment horizontal="center" vertical="center"/>
    </xf>
    <xf numFmtId="0" fontId="53" fillId="5" borderId="6" xfId="1" applyFont="1" applyFill="1" applyBorder="1">
      <alignment vertical="center"/>
    </xf>
    <xf numFmtId="177" fontId="24" fillId="0" borderId="7" xfId="0" applyNumberFormat="1" applyFont="1" applyBorder="1" applyAlignment="1">
      <alignment horizontal="left" vertical="top" wrapText="1"/>
    </xf>
    <xf numFmtId="0" fontId="21" fillId="5" borderId="8" xfId="1" applyFont="1" applyFill="1" applyBorder="1">
      <alignment vertical="center"/>
    </xf>
    <xf numFmtId="0" fontId="53" fillId="5" borderId="8" xfId="1" applyFont="1" applyFill="1" applyBorder="1">
      <alignment vertical="center"/>
    </xf>
    <xf numFmtId="0" fontId="21" fillId="0" borderId="13" xfId="0" applyFont="1" applyBorder="1" applyAlignment="1">
      <alignment horizontal="center" vertical="top" wrapText="1"/>
    </xf>
    <xf numFmtId="0" fontId="24" fillId="0" borderId="7" xfId="0" applyFont="1" applyBorder="1" applyAlignment="1">
      <alignment horizontal="center" vertical="top" wrapText="1"/>
    </xf>
    <xf numFmtId="0" fontId="23" fillId="0" borderId="7" xfId="0" applyFont="1" applyBorder="1" applyAlignment="1">
      <alignment horizontal="center" vertical="top" wrapText="1" indent="1" readingOrder="1"/>
    </xf>
    <xf numFmtId="0" fontId="24" fillId="0" borderId="7" xfId="0" applyFont="1" applyBorder="1" applyAlignment="1">
      <alignment horizontal="center" vertical="top"/>
    </xf>
    <xf numFmtId="177" fontId="24" fillId="0" borderId="7" xfId="0" applyNumberFormat="1" applyFont="1" applyBorder="1" applyAlignment="1">
      <alignment horizontal="center" vertical="top" wrapText="1"/>
    </xf>
    <xf numFmtId="0" fontId="21" fillId="5" borderId="8" xfId="1" applyFont="1" applyFill="1" applyBorder="1" applyAlignment="1">
      <alignment vertical="top"/>
    </xf>
    <xf numFmtId="0" fontId="3" fillId="2" borderId="11" xfId="0" applyFont="1" applyFill="1" applyBorder="1" applyAlignment="1">
      <alignment horizontal="center" vertical="center" wrapText="1" readingOrder="1"/>
    </xf>
    <xf numFmtId="176" fontId="10" fillId="0" borderId="124" xfId="0" applyNumberFormat="1" applyFont="1" applyBorder="1" applyAlignment="1">
      <alignment horizontal="center" vertical="center"/>
    </xf>
    <xf numFmtId="176" fontId="10" fillId="0" borderId="124" xfId="0" quotePrefix="1" applyNumberFormat="1" applyFont="1" applyBorder="1" applyAlignment="1">
      <alignment horizontal="center" vertical="center"/>
    </xf>
    <xf numFmtId="176" fontId="45" fillId="20" borderId="124" xfId="0" applyNumberFormat="1" applyFont="1" applyFill="1" applyBorder="1" applyAlignment="1">
      <alignment horizontal="center" vertical="center"/>
    </xf>
    <xf numFmtId="176" fontId="10" fillId="20" borderId="125" xfId="0" applyNumberFormat="1" applyFont="1" applyFill="1" applyBorder="1" applyAlignment="1">
      <alignment horizontal="center" vertical="center"/>
    </xf>
    <xf numFmtId="176" fontId="57" fillId="5" borderId="124" xfId="2" applyNumberFormat="1" applyFont="1" applyFill="1" applyBorder="1" applyAlignment="1">
      <alignment horizontal="center" vertical="center"/>
    </xf>
    <xf numFmtId="176" fontId="20" fillId="5" borderId="124" xfId="2" applyNumberFormat="1" applyFont="1" applyFill="1" applyBorder="1" applyAlignment="1">
      <alignment horizontal="center" vertical="center"/>
    </xf>
    <xf numFmtId="176" fontId="20" fillId="5" borderId="124" xfId="2" quotePrefix="1" applyNumberFormat="1" applyFont="1" applyFill="1" applyBorder="1" applyAlignment="1">
      <alignment horizontal="center" vertical="center"/>
    </xf>
    <xf numFmtId="176" fontId="18" fillId="5" borderId="116" xfId="1" applyNumberFormat="1" applyFont="1" applyFill="1" applyBorder="1" applyAlignment="1">
      <alignment horizontal="center" vertical="center"/>
    </xf>
    <xf numFmtId="176" fontId="19" fillId="5" borderId="124" xfId="2" applyNumberFormat="1" applyFont="1" applyFill="1" applyBorder="1" applyAlignment="1">
      <alignment horizontal="center" vertical="center"/>
    </xf>
    <xf numFmtId="176" fontId="19" fillId="5" borderId="126" xfId="2" applyNumberFormat="1" applyFont="1" applyFill="1" applyBorder="1" applyAlignment="1">
      <alignment horizontal="center" vertical="center"/>
    </xf>
    <xf numFmtId="176" fontId="20" fillId="5" borderId="127" xfId="2" applyNumberFormat="1" applyFont="1" applyFill="1" applyBorder="1" applyAlignment="1">
      <alignment horizontal="center" vertical="center"/>
    </xf>
    <xf numFmtId="176" fontId="20" fillId="5" borderId="128" xfId="2" applyNumberFormat="1" applyFont="1" applyFill="1" applyBorder="1" applyAlignment="1">
      <alignment horizontal="center" vertical="center"/>
    </xf>
    <xf numFmtId="176" fontId="10" fillId="0" borderId="121" xfId="0" quotePrefix="1" applyNumberFormat="1" applyFont="1" applyBorder="1" applyAlignment="1">
      <alignment horizontal="center" vertical="center"/>
    </xf>
    <xf numFmtId="176" fontId="45" fillId="20" borderId="121" xfId="0" applyNumberFormat="1" applyFont="1" applyFill="1" applyBorder="1" applyAlignment="1">
      <alignment horizontal="center" vertical="center"/>
    </xf>
    <xf numFmtId="176" fontId="57" fillId="5" borderId="121" xfId="2" applyNumberFormat="1" applyFont="1" applyFill="1" applyBorder="1" applyAlignment="1">
      <alignment horizontal="center" vertical="center"/>
    </xf>
    <xf numFmtId="176" fontId="20" fillId="5" borderId="121" xfId="2" applyNumberFormat="1" applyFont="1" applyFill="1" applyBorder="1" applyAlignment="1">
      <alignment horizontal="center" vertical="center"/>
    </xf>
    <xf numFmtId="176" fontId="20" fillId="5" borderId="121" xfId="2" quotePrefix="1" applyNumberFormat="1" applyFont="1" applyFill="1" applyBorder="1" applyAlignment="1">
      <alignment horizontal="center" vertical="center"/>
    </xf>
    <xf numFmtId="176" fontId="19" fillId="5" borderId="121" xfId="2" applyNumberFormat="1" applyFont="1" applyFill="1" applyBorder="1" applyAlignment="1">
      <alignment horizontal="center" vertical="center"/>
    </xf>
    <xf numFmtId="176" fontId="19" fillId="5" borderId="129" xfId="2" applyNumberFormat="1" applyFont="1" applyFill="1" applyBorder="1" applyAlignment="1">
      <alignment horizontal="center" vertical="center"/>
    </xf>
    <xf numFmtId="176" fontId="10" fillId="20" borderId="43" xfId="0" applyNumberFormat="1" applyFont="1" applyFill="1" applyBorder="1" applyAlignment="1">
      <alignment horizontal="center" vertical="center"/>
    </xf>
    <xf numFmtId="176" fontId="26" fillId="5" borderId="43" xfId="2" applyNumberFormat="1" applyFont="1" applyFill="1" applyBorder="1" applyAlignment="1">
      <alignment horizontal="center" vertical="center"/>
    </xf>
    <xf numFmtId="176" fontId="19" fillId="5" borderId="43" xfId="2" applyNumberFormat="1" applyFont="1" applyFill="1" applyBorder="1" applyAlignment="1">
      <alignment horizontal="center" vertical="center"/>
    </xf>
    <xf numFmtId="176" fontId="26" fillId="5" borderId="67" xfId="2" applyNumberFormat="1" applyFont="1" applyFill="1" applyBorder="1" applyAlignment="1">
      <alignment horizontal="center" vertical="center"/>
    </xf>
    <xf numFmtId="177" fontId="24" fillId="0" borderId="6" xfId="0" applyNumberFormat="1" applyFont="1" applyBorder="1" applyAlignment="1">
      <alignment horizontal="center" vertical="top" wrapText="1"/>
    </xf>
    <xf numFmtId="0" fontId="21" fillId="0" borderId="7" xfId="0" applyFont="1" applyBorder="1" applyAlignment="1">
      <alignment vertical="top" wrapText="1"/>
    </xf>
    <xf numFmtId="0" fontId="21" fillId="0" borderId="15" xfId="0" applyFont="1" applyBorder="1" applyAlignment="1">
      <alignment vertical="top" wrapText="1"/>
    </xf>
    <xf numFmtId="0" fontId="24" fillId="0" borderId="7" xfId="0" quotePrefix="1" applyFont="1" applyBorder="1" applyAlignment="1">
      <alignment horizontal="left" vertical="top" wrapText="1"/>
    </xf>
    <xf numFmtId="176" fontId="10" fillId="19" borderId="13" xfId="0" applyNumberFormat="1" applyFont="1" applyFill="1" applyBorder="1" applyAlignment="1">
      <alignment horizontal="center" vertical="center"/>
    </xf>
    <xf numFmtId="176" fontId="10" fillId="12" borderId="6" xfId="0" applyNumberFormat="1" applyFont="1" applyFill="1" applyBorder="1" applyAlignment="1">
      <alignment horizontal="center" vertical="center"/>
    </xf>
    <xf numFmtId="176" fontId="10" fillId="19" borderId="130" xfId="0" applyNumberFormat="1" applyFont="1" applyFill="1" applyBorder="1" applyAlignment="1">
      <alignment horizontal="center" vertical="center"/>
    </xf>
    <xf numFmtId="176" fontId="10" fillId="0" borderId="0" xfId="0" applyNumberFormat="1" applyFont="1" applyAlignment="1">
      <alignment horizontal="center" vertical="center"/>
    </xf>
    <xf numFmtId="176" fontId="0" fillId="0" borderId="0" xfId="0" applyNumberFormat="1" applyAlignment="1">
      <alignment vertical="center"/>
    </xf>
    <xf numFmtId="14" fontId="44" fillId="8" borderId="131" xfId="0" quotePrefix="1" applyNumberFormat="1" applyFont="1" applyFill="1" applyBorder="1" applyAlignment="1">
      <alignment horizontal="center" vertical="center"/>
    </xf>
    <xf numFmtId="176" fontId="10" fillId="20" borderId="132" xfId="0" applyNumberFormat="1" applyFont="1" applyFill="1" applyBorder="1" applyAlignment="1">
      <alignment horizontal="center" vertical="center"/>
    </xf>
    <xf numFmtId="176" fontId="10" fillId="20" borderId="133" xfId="0" applyNumberFormat="1" applyFont="1" applyFill="1" applyBorder="1" applyAlignment="1">
      <alignment horizontal="center" vertical="center"/>
    </xf>
    <xf numFmtId="176" fontId="10" fillId="20" borderId="21" xfId="0" applyNumberFormat="1" applyFont="1" applyFill="1" applyBorder="1" applyAlignment="1">
      <alignment horizontal="center" vertical="center"/>
    </xf>
    <xf numFmtId="176" fontId="10" fillId="20" borderId="7" xfId="0" applyNumberFormat="1" applyFont="1" applyFill="1" applyBorder="1" applyAlignment="1">
      <alignment horizontal="center" vertical="center"/>
    </xf>
    <xf numFmtId="176" fontId="10" fillId="0" borderId="136" xfId="0" applyNumberFormat="1" applyFont="1" applyBorder="1" applyAlignment="1">
      <alignment horizontal="center" vertical="center"/>
    </xf>
    <xf numFmtId="176" fontId="10" fillId="20" borderId="137" xfId="0" applyNumberFormat="1" applyFont="1" applyFill="1" applyBorder="1" applyAlignment="1">
      <alignment horizontal="center" vertical="center"/>
    </xf>
    <xf numFmtId="176" fontId="10" fillId="20" borderId="22" xfId="0" applyNumberFormat="1" applyFont="1" applyFill="1" applyBorder="1" applyAlignment="1">
      <alignment horizontal="center" vertical="center"/>
    </xf>
    <xf numFmtId="176" fontId="10" fillId="20" borderId="119" xfId="0" applyNumberFormat="1" applyFont="1" applyFill="1" applyBorder="1" applyAlignment="1">
      <alignment horizontal="center" vertical="center"/>
    </xf>
    <xf numFmtId="176" fontId="10" fillId="20" borderId="40" xfId="0" quotePrefix="1" applyNumberFormat="1" applyFont="1" applyFill="1" applyBorder="1" applyAlignment="1">
      <alignment horizontal="center" vertical="center"/>
    </xf>
    <xf numFmtId="0" fontId="0" fillId="0" borderId="16" xfId="0" applyBorder="1"/>
    <xf numFmtId="14" fontId="44" fillId="8" borderId="139" xfId="0" quotePrefix="1" applyNumberFormat="1" applyFont="1" applyFill="1" applyBorder="1" applyAlignment="1">
      <alignment horizontal="center" vertical="center"/>
    </xf>
    <xf numFmtId="0" fontId="17" fillId="0" borderId="0" xfId="0" applyFont="1"/>
    <xf numFmtId="176" fontId="20" fillId="19" borderId="39" xfId="0" applyNumberFormat="1" applyFont="1" applyFill="1" applyBorder="1" applyAlignment="1">
      <alignment horizontal="center" vertical="center"/>
    </xf>
    <xf numFmtId="176" fontId="20" fillId="19" borderId="8" xfId="0" applyNumberFormat="1" applyFont="1" applyFill="1" applyBorder="1" applyAlignment="1">
      <alignment horizontal="center" vertical="center"/>
    </xf>
    <xf numFmtId="176" fontId="20" fillId="19" borderId="35" xfId="0" applyNumberFormat="1" applyFont="1" applyFill="1" applyBorder="1" applyAlignment="1">
      <alignment horizontal="center" vertical="center"/>
    </xf>
    <xf numFmtId="0" fontId="44" fillId="8" borderId="139" xfId="0" quotePrefix="1" applyFont="1" applyFill="1" applyBorder="1" applyAlignment="1">
      <alignment horizontal="center" vertical="center"/>
    </xf>
    <xf numFmtId="176" fontId="10" fillId="20" borderId="44" xfId="0" applyNumberFormat="1" applyFont="1" applyFill="1" applyBorder="1" applyAlignment="1">
      <alignment horizontal="center" vertical="center"/>
    </xf>
    <xf numFmtId="176" fontId="42" fillId="20" borderId="43" xfId="0" applyNumberFormat="1" applyFont="1" applyFill="1" applyBorder="1" applyAlignment="1">
      <alignment horizontal="center" vertical="center"/>
    </xf>
    <xf numFmtId="176" fontId="10" fillId="20" borderId="140" xfId="0" applyNumberFormat="1" applyFont="1" applyFill="1" applyBorder="1" applyAlignment="1">
      <alignment horizontal="center" vertical="center"/>
    </xf>
    <xf numFmtId="176" fontId="10" fillId="5" borderId="64" xfId="0" applyNumberFormat="1" applyFont="1" applyFill="1" applyBorder="1" applyAlignment="1">
      <alignment horizontal="center" vertical="center"/>
    </xf>
    <xf numFmtId="176" fontId="10" fillId="5" borderId="43" xfId="0" applyNumberFormat="1" applyFont="1" applyFill="1" applyBorder="1" applyAlignment="1">
      <alignment horizontal="center" vertical="center"/>
    </xf>
    <xf numFmtId="176" fontId="0" fillId="5" borderId="43" xfId="0" applyNumberFormat="1" applyFill="1" applyBorder="1" applyAlignment="1">
      <alignment horizontal="center" vertical="center"/>
    </xf>
    <xf numFmtId="176" fontId="10" fillId="5" borderId="67" xfId="0" applyNumberFormat="1" applyFont="1" applyFill="1" applyBorder="1" applyAlignment="1">
      <alignment horizontal="center" vertical="center"/>
    </xf>
    <xf numFmtId="10" fontId="10" fillId="6" borderId="141" xfId="0" applyNumberFormat="1" applyFont="1" applyFill="1" applyBorder="1" applyAlignment="1">
      <alignment horizontal="center" vertical="center"/>
    </xf>
    <xf numFmtId="10" fontId="10" fillId="6" borderId="142" xfId="0" applyNumberFormat="1" applyFont="1" applyFill="1" applyBorder="1" applyAlignment="1">
      <alignment horizontal="center" vertical="center"/>
    </xf>
    <xf numFmtId="10" fontId="10" fillId="6" borderId="143" xfId="0" applyNumberFormat="1" applyFont="1" applyFill="1" applyBorder="1" applyAlignment="1">
      <alignment horizontal="center" vertical="center"/>
    </xf>
    <xf numFmtId="0" fontId="0" fillId="0" borderId="144" xfId="0" applyBorder="1"/>
    <xf numFmtId="0" fontId="37" fillId="8" borderId="145" xfId="0" applyFont="1" applyFill="1" applyBorder="1" applyAlignment="1">
      <alignment horizontal="center" vertical="center"/>
    </xf>
    <xf numFmtId="0" fontId="18" fillId="20" borderId="146" xfId="1" applyFont="1" applyFill="1" applyBorder="1" applyAlignment="1">
      <alignment horizontal="center" vertical="center"/>
    </xf>
    <xf numFmtId="0" fontId="18" fillId="20" borderId="147" xfId="1" applyFont="1" applyFill="1" applyBorder="1" applyAlignment="1">
      <alignment horizontal="center" vertical="center"/>
    </xf>
    <xf numFmtId="0" fontId="18" fillId="5" borderId="147" xfId="1" applyFont="1" applyFill="1" applyBorder="1" applyAlignment="1">
      <alignment horizontal="center" vertical="center"/>
    </xf>
    <xf numFmtId="0" fontId="18" fillId="20" borderId="148" xfId="1" applyFont="1" applyFill="1" applyBorder="1" applyAlignment="1">
      <alignment horizontal="center" vertical="center"/>
    </xf>
    <xf numFmtId="0" fontId="11" fillId="5" borderId="149" xfId="1" applyFont="1" applyFill="1" applyBorder="1" applyAlignment="1">
      <alignment horizontal="center" vertical="center"/>
    </xf>
    <xf numFmtId="0" fontId="11" fillId="5" borderId="147" xfId="1" applyFont="1" applyFill="1" applyBorder="1" applyAlignment="1">
      <alignment horizontal="center" vertical="center"/>
    </xf>
    <xf numFmtId="0" fontId="11" fillId="20" borderId="147" xfId="1" applyFont="1" applyFill="1" applyBorder="1" applyAlignment="1">
      <alignment horizontal="center" vertical="center"/>
    </xf>
    <xf numFmtId="0" fontId="11" fillId="12" borderId="147" xfId="1" applyFont="1" applyFill="1" applyBorder="1" applyAlignment="1">
      <alignment horizontal="center" vertical="center"/>
    </xf>
    <xf numFmtId="0" fontId="11" fillId="5" borderId="150" xfId="1" applyFont="1" applyFill="1" applyBorder="1" applyAlignment="1">
      <alignment horizontal="center" vertical="center"/>
    </xf>
    <xf numFmtId="176" fontId="10" fillId="0" borderId="43" xfId="0" quotePrefix="1" applyNumberFormat="1" applyFont="1" applyBorder="1" applyAlignment="1">
      <alignment horizontal="center" vertical="center"/>
    </xf>
    <xf numFmtId="176" fontId="20" fillId="5" borderId="151" xfId="2" applyNumberFormat="1" applyFont="1" applyFill="1" applyBorder="1" applyAlignment="1">
      <alignment horizontal="center" vertical="center"/>
    </xf>
    <xf numFmtId="176" fontId="20" fillId="5" borderId="152" xfId="2" applyNumberFormat="1" applyFont="1" applyFill="1" applyBorder="1" applyAlignment="1">
      <alignment horizontal="center" vertical="center"/>
    </xf>
    <xf numFmtId="176" fontId="18" fillId="5" borderId="152" xfId="1" applyNumberFormat="1" applyFont="1" applyFill="1" applyBorder="1" applyAlignment="1">
      <alignment horizontal="center" vertical="center"/>
    </xf>
    <xf numFmtId="176" fontId="10" fillId="20" borderId="6" xfId="0" applyNumberFormat="1" applyFont="1" applyFill="1" applyBorder="1" applyAlignment="1">
      <alignment horizontal="center" vertical="center"/>
    </xf>
    <xf numFmtId="176" fontId="10" fillId="20" borderId="155" xfId="0" applyNumberFormat="1" applyFont="1" applyFill="1" applyBorder="1" applyAlignment="1">
      <alignment horizontal="center" vertical="center"/>
    </xf>
    <xf numFmtId="176" fontId="10" fillId="0" borderId="117" xfId="0" quotePrefix="1" applyNumberFormat="1" applyFont="1" applyBorder="1" applyAlignment="1">
      <alignment horizontal="center" vertical="center"/>
    </xf>
    <xf numFmtId="176" fontId="10" fillId="20" borderId="156" xfId="0" applyNumberFormat="1" applyFont="1" applyFill="1" applyBorder="1" applyAlignment="1">
      <alignment horizontal="center" vertical="center"/>
    </xf>
    <xf numFmtId="176" fontId="10" fillId="20" borderId="122" xfId="0" applyNumberFormat="1" applyFont="1" applyFill="1" applyBorder="1" applyAlignment="1">
      <alignment horizontal="center" vertical="center"/>
    </xf>
    <xf numFmtId="176" fontId="10" fillId="20" borderId="123" xfId="0" applyNumberFormat="1" applyFont="1" applyFill="1" applyBorder="1" applyAlignment="1">
      <alignment horizontal="center" vertical="center"/>
    </xf>
    <xf numFmtId="176" fontId="18" fillId="20" borderId="124" xfId="0" applyNumberFormat="1" applyFont="1" applyFill="1" applyBorder="1" applyAlignment="1">
      <alignment horizontal="center" vertical="center"/>
    </xf>
    <xf numFmtId="176" fontId="10" fillId="20" borderId="124" xfId="0" applyNumberFormat="1" applyFont="1" applyFill="1" applyBorder="1" applyAlignment="1">
      <alignment horizontal="center" vertical="center"/>
    </xf>
    <xf numFmtId="176" fontId="10" fillId="20" borderId="126" xfId="0" applyNumberFormat="1" applyFont="1" applyFill="1" applyBorder="1" applyAlignment="1">
      <alignment horizontal="center" vertical="center"/>
    </xf>
    <xf numFmtId="176" fontId="10" fillId="20" borderId="127" xfId="0" applyNumberFormat="1" applyFont="1" applyFill="1" applyBorder="1" applyAlignment="1">
      <alignment horizontal="center" vertical="center"/>
    </xf>
    <xf numFmtId="176" fontId="10" fillId="20" borderId="128" xfId="0" applyNumberFormat="1" applyFont="1" applyFill="1" applyBorder="1" applyAlignment="1">
      <alignment horizontal="center" vertical="center"/>
    </xf>
    <xf numFmtId="176" fontId="10" fillId="20" borderId="157" xfId="0" applyNumberFormat="1" applyFont="1" applyFill="1" applyBorder="1" applyAlignment="1">
      <alignment horizontal="center" vertical="center"/>
    </xf>
    <xf numFmtId="176" fontId="10" fillId="20" borderId="158" xfId="0" applyNumberFormat="1" applyFont="1" applyFill="1" applyBorder="1" applyAlignment="1">
      <alignment horizontal="center" vertical="center"/>
    </xf>
    <xf numFmtId="14" fontId="44" fillId="8" borderId="159" xfId="0" quotePrefix="1" applyNumberFormat="1" applyFont="1" applyFill="1" applyBorder="1" applyAlignment="1">
      <alignment horizontal="center" vertical="center"/>
    </xf>
    <xf numFmtId="14" fontId="44" fillId="8" borderId="160" xfId="0" quotePrefix="1" applyNumberFormat="1" applyFont="1" applyFill="1" applyBorder="1" applyAlignment="1">
      <alignment horizontal="center" vertical="center"/>
    </xf>
    <xf numFmtId="14" fontId="44" fillId="8" borderId="161" xfId="0" quotePrefix="1" applyNumberFormat="1" applyFont="1" applyFill="1" applyBorder="1" applyAlignment="1">
      <alignment horizontal="center" vertical="center"/>
    </xf>
    <xf numFmtId="176" fontId="10" fillId="0" borderId="155" xfId="0" applyNumberFormat="1" applyFont="1" applyBorder="1" applyAlignment="1">
      <alignment horizontal="center" vertical="center"/>
    </xf>
    <xf numFmtId="176" fontId="10" fillId="0" borderId="42" xfId="0" applyNumberFormat="1" applyFont="1" applyBorder="1" applyAlignment="1">
      <alignment horizontal="center" vertical="center"/>
    </xf>
    <xf numFmtId="176" fontId="10" fillId="0" borderId="154" xfId="0" applyNumberFormat="1" applyFont="1" applyBorder="1" applyAlignment="1">
      <alignment horizontal="center" vertical="center"/>
    </xf>
    <xf numFmtId="176" fontId="10" fillId="19" borderId="162" xfId="0" applyNumberFormat="1" applyFont="1" applyFill="1" applyBorder="1" applyAlignment="1">
      <alignment horizontal="center" vertical="center"/>
    </xf>
    <xf numFmtId="176" fontId="10" fillId="12" borderId="22" xfId="0" applyNumberFormat="1" applyFont="1" applyFill="1" applyBorder="1" applyAlignment="1">
      <alignment horizontal="center" vertical="center"/>
    </xf>
    <xf numFmtId="176" fontId="10" fillId="19" borderId="163" xfId="0" applyNumberFormat="1" applyFont="1" applyFill="1" applyBorder="1" applyAlignment="1">
      <alignment horizontal="center" vertical="center"/>
    </xf>
    <xf numFmtId="176" fontId="10" fillId="19" borderId="164" xfId="0" applyNumberFormat="1" applyFont="1" applyFill="1" applyBorder="1" applyAlignment="1">
      <alignment horizontal="center" vertical="center"/>
    </xf>
    <xf numFmtId="176" fontId="10" fillId="19" borderId="95" xfId="0" applyNumberFormat="1" applyFont="1" applyFill="1" applyBorder="1" applyAlignment="1">
      <alignment horizontal="center" vertical="center"/>
    </xf>
    <xf numFmtId="176" fontId="10" fillId="12" borderId="8" xfId="0" applyNumberFormat="1" applyFont="1" applyFill="1" applyBorder="1" applyAlignment="1">
      <alignment horizontal="center" vertical="center"/>
    </xf>
    <xf numFmtId="176" fontId="10" fillId="19" borderId="39" xfId="0" applyNumberFormat="1" applyFont="1" applyFill="1" applyBorder="1" applyAlignment="1">
      <alignment horizontal="center" vertical="center"/>
    </xf>
    <xf numFmtId="176" fontId="10" fillId="19" borderId="165" xfId="0" applyNumberFormat="1" applyFont="1" applyFill="1" applyBorder="1" applyAlignment="1">
      <alignment horizontal="center" vertical="center"/>
    </xf>
    <xf numFmtId="176" fontId="10" fillId="19" borderId="8" xfId="0" applyNumberFormat="1" applyFont="1" applyFill="1" applyBorder="1" applyAlignment="1">
      <alignment horizontal="center" vertical="center"/>
    </xf>
    <xf numFmtId="176" fontId="10" fillId="12" borderId="7" xfId="0" applyNumberFormat="1" applyFont="1" applyFill="1" applyBorder="1" applyAlignment="1">
      <alignment horizontal="center" vertical="center"/>
    </xf>
    <xf numFmtId="176" fontId="12" fillId="5" borderId="116" xfId="0" applyNumberFormat="1" applyFont="1" applyFill="1" applyBorder="1" applyAlignment="1">
      <alignment horizontal="center" vertical="center"/>
    </xf>
    <xf numFmtId="0" fontId="36"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26" fillId="0" borderId="0" xfId="2" applyFont="1" applyAlignment="1">
      <alignment horizontal="center" vertical="center"/>
    </xf>
    <xf numFmtId="0" fontId="10" fillId="0" borderId="0" xfId="0" applyFont="1" applyAlignment="1">
      <alignment horizontal="center" vertical="center"/>
    </xf>
    <xf numFmtId="0" fontId="20" fillId="0" borderId="0" xfId="0" applyFont="1" applyAlignment="1">
      <alignment vertical="center"/>
    </xf>
    <xf numFmtId="0" fontId="10" fillId="5" borderId="0" xfId="0" applyFont="1" applyFill="1" applyAlignment="1">
      <alignment vertical="center"/>
    </xf>
    <xf numFmtId="176" fontId="60" fillId="5" borderId="59" xfId="2" applyNumberFormat="1" applyFont="1" applyFill="1" applyBorder="1" applyAlignment="1">
      <alignment horizontal="center" vertical="center"/>
    </xf>
    <xf numFmtId="176" fontId="60" fillId="5" borderId="121" xfId="2" applyNumberFormat="1" applyFont="1" applyFill="1" applyBorder="1" applyAlignment="1">
      <alignment horizontal="center" vertical="center"/>
    </xf>
    <xf numFmtId="10" fontId="10" fillId="12" borderId="0" xfId="0" applyNumberFormat="1" applyFont="1" applyFill="1" applyAlignment="1">
      <alignment vertical="center"/>
    </xf>
    <xf numFmtId="0" fontId="0" fillId="12" borderId="0" xfId="0" applyFill="1" applyAlignment="1">
      <alignment vertical="center"/>
    </xf>
    <xf numFmtId="176" fontId="10" fillId="20" borderId="117" xfId="0" quotePrefix="1" applyNumberFormat="1" applyFont="1" applyFill="1" applyBorder="1" applyAlignment="1">
      <alignment horizontal="center" vertical="center"/>
    </xf>
    <xf numFmtId="176" fontId="45" fillId="0" borderId="59" xfId="0" applyNumberFormat="1" applyFont="1" applyBorder="1" applyAlignment="1">
      <alignment horizontal="center" vertical="center"/>
    </xf>
    <xf numFmtId="176" fontId="20" fillId="20" borderId="6" xfId="2" applyNumberFormat="1" applyFont="1" applyFill="1" applyBorder="1" applyAlignment="1">
      <alignment horizontal="center" vertical="center"/>
    </xf>
    <xf numFmtId="176" fontId="10" fillId="20" borderId="134" xfId="0" applyNumberFormat="1" applyFont="1" applyFill="1" applyBorder="1" applyAlignment="1">
      <alignment horizontal="center" vertical="center"/>
    </xf>
    <xf numFmtId="176" fontId="10" fillId="20" borderId="135" xfId="0" applyNumberFormat="1" applyFont="1" applyFill="1" applyBorder="1" applyAlignment="1">
      <alignment horizontal="center" vertical="center"/>
    </xf>
    <xf numFmtId="176" fontId="10" fillId="20" borderId="138" xfId="0" applyNumberFormat="1" applyFont="1" applyFill="1" applyBorder="1" applyAlignment="1">
      <alignment horizontal="center" vertical="center"/>
    </xf>
    <xf numFmtId="176" fontId="10" fillId="20" borderId="153" xfId="0" applyNumberFormat="1" applyFont="1" applyFill="1" applyBorder="1" applyAlignment="1">
      <alignment horizontal="center" vertical="center"/>
    </xf>
    <xf numFmtId="176" fontId="45" fillId="0" borderId="121" xfId="0" applyNumberFormat="1" applyFont="1" applyBorder="1" applyAlignment="1">
      <alignment horizontal="center" vertical="center"/>
    </xf>
    <xf numFmtId="176" fontId="45" fillId="0" borderId="124" xfId="0" applyNumberFormat="1" applyFont="1" applyBorder="1" applyAlignment="1">
      <alignment horizontal="center" vertical="center"/>
    </xf>
    <xf numFmtId="176" fontId="20" fillId="0" borderId="40" xfId="2" applyNumberFormat="1" applyFont="1" applyFill="1" applyBorder="1" applyAlignment="1">
      <alignment horizontal="center" vertical="center"/>
    </xf>
    <xf numFmtId="176" fontId="20" fillId="20" borderId="40" xfId="2" applyNumberFormat="1" applyFont="1" applyFill="1" applyBorder="1" applyAlignment="1">
      <alignment horizontal="center" vertical="center"/>
    </xf>
    <xf numFmtId="176" fontId="20" fillId="20" borderId="59" xfId="2" applyNumberFormat="1" applyFont="1" applyFill="1" applyBorder="1" applyAlignment="1">
      <alignment horizontal="center" vertical="center"/>
    </xf>
    <xf numFmtId="176" fontId="20" fillId="20" borderId="121" xfId="2" applyNumberFormat="1" applyFont="1" applyFill="1" applyBorder="1" applyAlignment="1">
      <alignment horizontal="center" vertical="center"/>
    </xf>
    <xf numFmtId="176" fontId="20" fillId="20" borderId="125" xfId="2" applyNumberFormat="1" applyFont="1" applyFill="1" applyBorder="1" applyAlignment="1">
      <alignment horizontal="center" vertical="center"/>
    </xf>
    <xf numFmtId="176" fontId="20" fillId="20" borderId="120" xfId="2" applyNumberFormat="1" applyFont="1" applyFill="1" applyBorder="1" applyAlignment="1">
      <alignment horizontal="center" vertical="center"/>
    </xf>
    <xf numFmtId="176" fontId="20" fillId="20" borderId="119" xfId="2" applyNumberFormat="1" applyFont="1" applyFill="1" applyBorder="1" applyAlignment="1">
      <alignment horizontal="center" vertical="center"/>
    </xf>
    <xf numFmtId="10" fontId="0" fillId="0" borderId="0" xfId="0" applyNumberFormat="1" applyAlignment="1">
      <alignment vertical="center"/>
    </xf>
    <xf numFmtId="10" fontId="59" fillId="0" borderId="0" xfId="0" applyNumberFormat="1" applyFont="1" applyAlignment="1">
      <alignment readingOrder="1"/>
    </xf>
    <xf numFmtId="0" fontId="61" fillId="0" borderId="0" xfId="2" applyFont="1" applyAlignment="1">
      <alignment horizontal="center" vertical="center"/>
    </xf>
    <xf numFmtId="176" fontId="10" fillId="19" borderId="9" xfId="0" applyNumberFormat="1" applyFont="1" applyFill="1" applyBorder="1" applyAlignment="1">
      <alignment horizontal="center" vertical="center"/>
    </xf>
    <xf numFmtId="176" fontId="10" fillId="19" borderId="100" xfId="0" applyNumberFormat="1" applyFont="1" applyFill="1" applyBorder="1" applyAlignment="1">
      <alignment horizontal="center" vertical="center"/>
    </xf>
    <xf numFmtId="176" fontId="10" fillId="19" borderId="166" xfId="0" applyNumberFormat="1" applyFont="1" applyFill="1" applyBorder="1" applyAlignment="1">
      <alignment horizontal="center" vertical="center"/>
    </xf>
    <xf numFmtId="176" fontId="10" fillId="19" borderId="167" xfId="0" applyNumberFormat="1" applyFont="1" applyFill="1" applyBorder="1" applyAlignment="1">
      <alignment horizontal="center" vertical="center"/>
    </xf>
    <xf numFmtId="176" fontId="10" fillId="20" borderId="168" xfId="0" applyNumberFormat="1" applyFont="1" applyFill="1" applyBorder="1" applyAlignment="1">
      <alignment horizontal="center" vertical="center"/>
    </xf>
    <xf numFmtId="176" fontId="10" fillId="0" borderId="65" xfId="0" applyNumberFormat="1" applyFont="1" applyBorder="1" applyAlignment="1">
      <alignment horizontal="center" vertical="center"/>
    </xf>
    <xf numFmtId="176" fontId="20" fillId="0" borderId="152" xfId="2" applyNumberFormat="1" applyFont="1" applyBorder="1" applyAlignment="1">
      <alignment horizontal="center" vertical="center"/>
    </xf>
    <xf numFmtId="176" fontId="20" fillId="0" borderId="116" xfId="2" applyNumberFormat="1" applyFont="1" applyBorder="1" applyAlignment="1">
      <alignment horizontal="center" vertical="center"/>
    </xf>
    <xf numFmtId="14" fontId="44" fillId="8" borderId="77" xfId="0" quotePrefix="1" applyNumberFormat="1" applyFont="1" applyFill="1" applyBorder="1" applyAlignment="1">
      <alignment horizontal="center" vertical="center"/>
    </xf>
    <xf numFmtId="176" fontId="10" fillId="5" borderId="59" xfId="0" applyNumberFormat="1" applyFont="1" applyFill="1" applyBorder="1" applyAlignment="1">
      <alignment horizontal="center" vertical="center"/>
    </xf>
    <xf numFmtId="176" fontId="10" fillId="5" borderId="59" xfId="0" quotePrefix="1" applyNumberFormat="1" applyFont="1" applyFill="1" applyBorder="1" applyAlignment="1">
      <alignment horizontal="center" vertical="center"/>
    </xf>
    <xf numFmtId="176" fontId="10" fillId="0" borderId="59" xfId="0" quotePrefix="1" applyNumberFormat="1" applyFont="1" applyBorder="1" applyAlignment="1">
      <alignment horizontal="center" vertical="center"/>
    </xf>
    <xf numFmtId="176" fontId="20" fillId="5" borderId="7" xfId="2" applyNumberFormat="1" applyFont="1" applyFill="1" applyBorder="1" applyAlignment="1">
      <alignment horizontal="center" vertical="center"/>
    </xf>
    <xf numFmtId="176" fontId="20" fillId="0" borderId="59" xfId="0" applyNumberFormat="1" applyFont="1" applyBorder="1" applyAlignment="1">
      <alignment horizontal="center" vertical="center"/>
    </xf>
    <xf numFmtId="176" fontId="20" fillId="20" borderId="7" xfId="2" applyNumberFormat="1" applyFont="1" applyFill="1" applyBorder="1" applyAlignment="1">
      <alignment horizontal="center" vertical="center"/>
    </xf>
    <xf numFmtId="176" fontId="20" fillId="5" borderId="133" xfId="0" applyNumberFormat="1" applyFont="1" applyFill="1" applyBorder="1" applyAlignment="1">
      <alignment horizontal="center" vertical="center"/>
    </xf>
    <xf numFmtId="176" fontId="20" fillId="5" borderId="7" xfId="0" applyNumberFormat="1" applyFont="1" applyFill="1" applyBorder="1" applyAlignment="1">
      <alignment horizontal="center" vertical="center"/>
    </xf>
    <xf numFmtId="176" fontId="10" fillId="5" borderId="7" xfId="0" applyNumberFormat="1" applyFont="1" applyFill="1" applyBorder="1" applyAlignment="1">
      <alignment horizontal="center" vertical="center"/>
    </xf>
    <xf numFmtId="176" fontId="10" fillId="0" borderId="7" xfId="0" applyNumberFormat="1" applyFont="1" applyBorder="1" applyAlignment="1">
      <alignment horizontal="center" vertical="center"/>
    </xf>
    <xf numFmtId="176" fontId="10" fillId="5" borderId="60" xfId="0" applyNumberFormat="1" applyFont="1" applyFill="1" applyBorder="1" applyAlignment="1">
      <alignment horizontal="center" vertical="center"/>
    </xf>
    <xf numFmtId="176" fontId="10" fillId="19" borderId="170" xfId="0" applyNumberFormat="1" applyFont="1" applyFill="1" applyBorder="1" applyAlignment="1">
      <alignment horizontal="center" vertical="center"/>
    </xf>
    <xf numFmtId="176" fontId="10" fillId="12" borderId="171" xfId="0" applyNumberFormat="1" applyFont="1" applyFill="1" applyBorder="1" applyAlignment="1">
      <alignment horizontal="center" vertical="center"/>
    </xf>
    <xf numFmtId="176" fontId="10" fillId="19" borderId="172" xfId="0" applyNumberFormat="1" applyFont="1" applyFill="1" applyBorder="1" applyAlignment="1">
      <alignment horizontal="center" vertical="center"/>
    </xf>
    <xf numFmtId="176" fontId="10" fillId="12" borderId="173" xfId="0" applyNumberFormat="1" applyFont="1" applyFill="1" applyBorder="1" applyAlignment="1">
      <alignment horizontal="center" vertical="center"/>
    </xf>
    <xf numFmtId="9" fontId="10" fillId="0" borderId="174" xfId="0" applyNumberFormat="1" applyFont="1" applyBorder="1" applyAlignment="1">
      <alignment vertical="center"/>
    </xf>
    <xf numFmtId="14" fontId="43" fillId="10" borderId="75" xfId="0" applyNumberFormat="1" applyFont="1" applyFill="1" applyBorder="1" applyAlignment="1">
      <alignment horizontal="center" vertical="center" wrapText="1"/>
    </xf>
    <xf numFmtId="176" fontId="10" fillId="19" borderId="14" xfId="0" applyNumberFormat="1" applyFont="1" applyFill="1" applyBorder="1" applyAlignment="1">
      <alignment horizontal="center" vertical="center"/>
    </xf>
    <xf numFmtId="176" fontId="10" fillId="5" borderId="10" xfId="2" applyNumberFormat="1" applyFont="1" applyFill="1" applyBorder="1" applyAlignment="1">
      <alignment horizontal="center" vertical="center"/>
    </xf>
    <xf numFmtId="176" fontId="10" fillId="5" borderId="15" xfId="0" applyNumberFormat="1" applyFont="1" applyFill="1" applyBorder="1" applyAlignment="1">
      <alignment horizontal="center" vertical="center"/>
    </xf>
    <xf numFmtId="177" fontId="10" fillId="12" borderId="0" xfId="0" applyNumberFormat="1" applyFont="1" applyFill="1" applyAlignment="1">
      <alignment vertical="center"/>
    </xf>
    <xf numFmtId="176" fontId="60" fillId="12" borderId="32" xfId="0" applyNumberFormat="1" applyFont="1" applyFill="1" applyBorder="1" applyAlignment="1">
      <alignment horizontal="center" vertical="center"/>
    </xf>
    <xf numFmtId="176" fontId="60" fillId="12" borderId="10" xfId="0" applyNumberFormat="1" applyFont="1" applyFill="1" applyBorder="1" applyAlignment="1">
      <alignment horizontal="center" vertical="center"/>
    </xf>
    <xf numFmtId="176" fontId="60" fillId="12" borderId="86" xfId="0" applyNumberFormat="1" applyFont="1" applyFill="1" applyBorder="1" applyAlignment="1">
      <alignment horizontal="center" vertical="center"/>
    </xf>
    <xf numFmtId="176" fontId="10" fillId="12" borderId="6" xfId="2" applyNumberFormat="1" applyFont="1" applyFill="1" applyBorder="1" applyAlignment="1">
      <alignment horizontal="center" vertical="center"/>
    </xf>
    <xf numFmtId="176" fontId="10" fillId="0" borderId="44" xfId="0" quotePrefix="1" applyNumberFormat="1" applyFont="1" applyBorder="1" applyAlignment="1">
      <alignment horizontal="center" vertical="center"/>
    </xf>
    <xf numFmtId="176" fontId="10" fillId="20" borderId="175" xfId="0" applyNumberFormat="1" applyFont="1" applyFill="1" applyBorder="1" applyAlignment="1">
      <alignment horizontal="center" vertical="center"/>
    </xf>
    <xf numFmtId="176" fontId="10" fillId="5" borderId="7" xfId="2" applyNumberFormat="1" applyFont="1" applyFill="1" applyBorder="1" applyAlignment="1">
      <alignment horizontal="center" vertical="center"/>
    </xf>
    <xf numFmtId="176" fontId="10" fillId="5" borderId="133" xfId="0" applyNumberFormat="1" applyFont="1" applyFill="1" applyBorder="1" applyAlignment="1">
      <alignment horizontal="center" vertical="center"/>
    </xf>
    <xf numFmtId="9" fontId="10" fillId="19" borderId="122" xfId="0" applyNumberFormat="1" applyFont="1" applyFill="1" applyBorder="1" applyAlignment="1">
      <alignment vertical="center"/>
    </xf>
    <xf numFmtId="9" fontId="10" fillId="19" borderId="176" xfId="0" applyNumberFormat="1" applyFont="1" applyFill="1" applyBorder="1" applyAlignment="1">
      <alignment vertical="center"/>
    </xf>
    <xf numFmtId="9" fontId="10" fillId="19" borderId="40" xfId="0" applyNumberFormat="1" applyFont="1" applyFill="1" applyBorder="1" applyAlignment="1">
      <alignment vertical="center"/>
    </xf>
    <xf numFmtId="9" fontId="10" fillId="19" borderId="48" xfId="0" applyNumberFormat="1" applyFont="1" applyFill="1" applyBorder="1" applyAlignment="1">
      <alignment vertical="center"/>
    </xf>
    <xf numFmtId="9" fontId="10" fillId="19" borderId="52" xfId="0" applyNumberFormat="1" applyFont="1" applyFill="1" applyBorder="1" applyAlignment="1">
      <alignment vertical="center"/>
    </xf>
    <xf numFmtId="9" fontId="10" fillId="19" borderId="53" xfId="0" applyNumberFormat="1" applyFont="1" applyFill="1" applyBorder="1" applyAlignment="1">
      <alignment vertical="center"/>
    </xf>
    <xf numFmtId="0" fontId="20" fillId="5" borderId="42" xfId="2" applyFont="1" applyFill="1" applyBorder="1" applyAlignment="1">
      <alignment vertical="center"/>
    </xf>
    <xf numFmtId="0" fontId="19" fillId="5" borderId="42" xfId="2" applyFont="1" applyFill="1" applyBorder="1" applyAlignment="1">
      <alignment vertical="center"/>
    </xf>
    <xf numFmtId="0" fontId="19" fillId="5" borderId="42" xfId="2" applyFont="1" applyFill="1" applyBorder="1" applyAlignment="1">
      <alignment horizontal="center" vertical="center"/>
    </xf>
    <xf numFmtId="0" fontId="26" fillId="5" borderId="54" xfId="2" applyFont="1" applyFill="1" applyBorder="1" applyAlignment="1">
      <alignment vertical="center"/>
    </xf>
    <xf numFmtId="176" fontId="10" fillId="0" borderId="6" xfId="2" applyNumberFormat="1" applyFont="1" applyFill="1" applyBorder="1" applyAlignment="1">
      <alignment horizontal="center" vertical="center"/>
    </xf>
    <xf numFmtId="176" fontId="10" fillId="19" borderId="177" xfId="0" applyNumberFormat="1" applyFont="1" applyFill="1" applyBorder="1" applyAlignment="1">
      <alignment horizontal="center" vertical="center"/>
    </xf>
    <xf numFmtId="176" fontId="10" fillId="12" borderId="178" xfId="0" applyNumberFormat="1" applyFont="1" applyFill="1" applyBorder="1" applyAlignment="1">
      <alignment horizontal="center" vertical="center"/>
    </xf>
    <xf numFmtId="176" fontId="10" fillId="19" borderId="179" xfId="0" applyNumberFormat="1" applyFont="1" applyFill="1" applyBorder="1" applyAlignment="1">
      <alignment horizontal="center" vertical="center"/>
    </xf>
    <xf numFmtId="176" fontId="10" fillId="19" borderId="38" xfId="0" applyNumberFormat="1" applyFont="1" applyFill="1" applyBorder="1" applyAlignment="1">
      <alignment horizontal="center" vertical="center"/>
    </xf>
    <xf numFmtId="9" fontId="10" fillId="0" borderId="180" xfId="0" applyNumberFormat="1" applyFont="1" applyBorder="1" applyAlignment="1">
      <alignment vertical="center"/>
    </xf>
    <xf numFmtId="14" fontId="44" fillId="8" borderId="181" xfId="0" applyNumberFormat="1" applyFont="1" applyFill="1" applyBorder="1" applyAlignment="1">
      <alignment horizontal="center" vertical="center"/>
    </xf>
    <xf numFmtId="176" fontId="10" fillId="20" borderId="154" xfId="0" applyNumberFormat="1" applyFont="1" applyFill="1" applyBorder="1" applyAlignment="1">
      <alignment horizontal="center" vertical="center"/>
    </xf>
    <xf numFmtId="176" fontId="10" fillId="5" borderId="116" xfId="0" applyNumberFormat="1" applyFont="1" applyFill="1" applyBorder="1" applyAlignment="1">
      <alignment horizontal="center" vertical="center"/>
    </xf>
    <xf numFmtId="176" fontId="45" fillId="0" borderId="182" xfId="0" applyNumberFormat="1" applyFont="1" applyBorder="1" applyAlignment="1">
      <alignment horizontal="center" vertical="center"/>
    </xf>
    <xf numFmtId="176" fontId="10" fillId="5" borderId="154" xfId="0" applyNumberFormat="1" applyFont="1" applyFill="1" applyBorder="1" applyAlignment="1">
      <alignment horizontal="center" vertical="center"/>
    </xf>
    <xf numFmtId="176" fontId="10" fillId="5" borderId="183" xfId="0" applyNumberFormat="1" applyFont="1" applyFill="1" applyBorder="1" applyAlignment="1">
      <alignment horizontal="center" vertical="center"/>
    </xf>
    <xf numFmtId="176" fontId="10" fillId="20" borderId="124" xfId="0" quotePrefix="1" applyNumberFormat="1" applyFont="1" applyFill="1" applyBorder="1" applyAlignment="1">
      <alignment horizontal="center" vertical="center"/>
    </xf>
    <xf numFmtId="176" fontId="10" fillId="20" borderId="116" xfId="0" quotePrefix="1" applyNumberFormat="1" applyFont="1" applyFill="1" applyBorder="1" applyAlignment="1">
      <alignment horizontal="center" vertical="center"/>
    </xf>
    <xf numFmtId="176" fontId="10" fillId="20" borderId="59" xfId="0" quotePrefix="1" applyNumberFormat="1" applyFont="1" applyFill="1" applyBorder="1" applyAlignment="1">
      <alignment horizontal="center" vertical="center"/>
    </xf>
    <xf numFmtId="10" fontId="10" fillId="0" borderId="0" xfId="0" applyNumberFormat="1" applyFont="1" applyAlignment="1">
      <alignment vertical="center"/>
    </xf>
    <xf numFmtId="176" fontId="37" fillId="0" borderId="40" xfId="0" applyNumberFormat="1" applyFont="1" applyBorder="1" applyAlignment="1">
      <alignment horizontal="center" vertical="center"/>
    </xf>
    <xf numFmtId="0" fontId="64" fillId="0" borderId="0" xfId="0" applyFont="1" applyAlignment="1">
      <alignment vertical="center"/>
    </xf>
    <xf numFmtId="10" fontId="10" fillId="0" borderId="0" xfId="0" applyNumberFormat="1" applyFont="1" applyAlignment="1">
      <alignment horizontal="left" vertical="center"/>
    </xf>
    <xf numFmtId="0" fontId="51" fillId="12" borderId="0" xfId="0" applyFont="1" applyFill="1" applyAlignment="1">
      <alignment vertical="center"/>
    </xf>
    <xf numFmtId="0" fontId="24" fillId="5" borderId="6" xfId="0" applyFont="1" applyFill="1" applyBorder="1" applyAlignment="1">
      <alignment horizontal="left" vertical="top" wrapText="1"/>
    </xf>
    <xf numFmtId="0" fontId="24" fillId="5" borderId="13" xfId="0" applyFont="1" applyFill="1" applyBorder="1" applyAlignment="1">
      <alignment horizontal="left" vertical="top" wrapText="1"/>
    </xf>
    <xf numFmtId="0" fontId="21" fillId="5" borderId="13" xfId="0" applyFont="1" applyFill="1" applyBorder="1" applyAlignment="1">
      <alignment horizontal="left" vertical="top" wrapText="1"/>
    </xf>
    <xf numFmtId="176" fontId="10" fillId="0" borderId="116" xfId="0" quotePrefix="1" applyNumberFormat="1" applyFont="1" applyBorder="1" applyAlignment="1">
      <alignment horizontal="center" vertical="center"/>
    </xf>
    <xf numFmtId="176" fontId="12" fillId="20" borderId="116" xfId="0" applyNumberFormat="1" applyFont="1" applyFill="1" applyBorder="1" applyAlignment="1">
      <alignment horizontal="center" vertical="center"/>
    </xf>
    <xf numFmtId="0" fontId="22" fillId="9" borderId="118" xfId="0" applyFont="1" applyFill="1" applyBorder="1" applyAlignment="1">
      <alignment horizontal="center" vertical="center"/>
    </xf>
    <xf numFmtId="0" fontId="22" fillId="9" borderId="0" xfId="0" applyFont="1" applyFill="1" applyAlignment="1">
      <alignment horizontal="center" vertical="center"/>
    </xf>
    <xf numFmtId="0" fontId="33" fillId="22" borderId="96" xfId="1" applyFont="1" applyFill="1" applyBorder="1" applyAlignment="1">
      <alignment horizontal="center" vertical="center"/>
    </xf>
    <xf numFmtId="0" fontId="33" fillId="22" borderId="97" xfId="1" applyFont="1" applyFill="1" applyBorder="1" applyAlignment="1">
      <alignment horizontal="center" vertical="center"/>
    </xf>
    <xf numFmtId="0" fontId="33" fillId="22" borderId="98" xfId="1" applyFont="1" applyFill="1" applyBorder="1" applyAlignment="1">
      <alignment horizontal="center" vertical="center"/>
    </xf>
    <xf numFmtId="0" fontId="37" fillId="15" borderId="49" xfId="0" applyFont="1" applyFill="1" applyBorder="1" applyAlignment="1">
      <alignment horizontal="center" vertical="center"/>
    </xf>
    <xf numFmtId="0" fontId="37" fillId="15" borderId="56" xfId="0" applyFont="1" applyFill="1" applyBorder="1" applyAlignment="1">
      <alignment horizontal="center" vertical="center"/>
    </xf>
    <xf numFmtId="0" fontId="37" fillId="15" borderId="50" xfId="0" applyFont="1" applyFill="1" applyBorder="1" applyAlignment="1">
      <alignment horizontal="center" vertical="center"/>
    </xf>
    <xf numFmtId="0" fontId="38" fillId="13" borderId="42" xfId="0" applyFont="1" applyFill="1" applyBorder="1" applyAlignment="1">
      <alignment horizontal="center" vertical="center"/>
    </xf>
    <xf numFmtId="0" fontId="38" fillId="13" borderId="40" xfId="0" applyFont="1" applyFill="1" applyBorder="1" applyAlignment="1">
      <alignment horizontal="center" vertical="center"/>
    </xf>
    <xf numFmtId="0" fontId="38" fillId="20" borderId="59" xfId="0" applyFont="1" applyFill="1" applyBorder="1" applyAlignment="1">
      <alignment horizontal="left" vertical="center"/>
    </xf>
    <xf numFmtId="0" fontId="38" fillId="5" borderId="59" xfId="0" applyFont="1" applyFill="1" applyBorder="1" applyAlignment="1">
      <alignment horizontal="left" vertical="center"/>
    </xf>
    <xf numFmtId="0" fontId="38" fillId="13" borderId="41" xfId="0" applyFont="1" applyFill="1" applyBorder="1" applyAlignment="1">
      <alignment horizontal="center" vertical="center"/>
    </xf>
    <xf numFmtId="0" fontId="38" fillId="20" borderId="68" xfId="0" applyFont="1" applyFill="1" applyBorder="1" applyAlignment="1">
      <alignment horizontal="left" vertical="center"/>
    </xf>
    <xf numFmtId="0" fontId="38" fillId="20" borderId="70" xfId="0" applyFont="1" applyFill="1" applyBorder="1" applyAlignment="1">
      <alignment horizontal="left" vertical="center"/>
    </xf>
    <xf numFmtId="0" fontId="38" fillId="20" borderId="169" xfId="0" applyFont="1" applyFill="1" applyBorder="1" applyAlignment="1">
      <alignment horizontal="left" vertical="center"/>
    </xf>
    <xf numFmtId="0" fontId="38" fillId="20" borderId="54" xfId="0" applyFont="1" applyFill="1" applyBorder="1" applyAlignment="1">
      <alignment horizontal="left" vertical="center"/>
    </xf>
    <xf numFmtId="0" fontId="33" fillId="16" borderId="47" xfId="1" applyFont="1" applyFill="1" applyBorder="1" applyAlignment="1">
      <alignment horizontal="center" vertical="center" wrapText="1"/>
    </xf>
    <xf numFmtId="0" fontId="33" fillId="16" borderId="47" xfId="1" applyFont="1" applyFill="1" applyBorder="1" applyAlignment="1">
      <alignment horizontal="center" vertical="center"/>
    </xf>
    <xf numFmtId="10" fontId="10" fillId="6" borderId="82" xfId="0" applyNumberFormat="1" applyFont="1" applyFill="1" applyBorder="1" applyAlignment="1">
      <alignment horizontal="center" vertical="center"/>
    </xf>
    <xf numFmtId="10" fontId="10" fillId="6" borderId="80" xfId="0" applyNumberFormat="1" applyFont="1" applyFill="1" applyBorder="1" applyAlignment="1">
      <alignment horizontal="center" vertical="center"/>
    </xf>
    <xf numFmtId="0" fontId="22" fillId="8" borderId="11" xfId="0" applyFont="1" applyFill="1" applyBorder="1" applyAlignment="1">
      <alignment horizontal="center" vertical="center"/>
    </xf>
    <xf numFmtId="0" fontId="22" fillId="6" borderId="11" xfId="0" applyFont="1" applyFill="1" applyBorder="1" applyAlignment="1">
      <alignment horizontal="center" vertical="center"/>
    </xf>
    <xf numFmtId="0" fontId="33" fillId="15" borderId="47" xfId="1" applyFont="1" applyFill="1" applyBorder="1" applyAlignment="1">
      <alignment horizontal="center" vertical="center" wrapText="1"/>
    </xf>
    <xf numFmtId="0" fontId="33" fillId="15" borderId="47" xfId="1" applyFont="1" applyFill="1" applyBorder="1" applyAlignment="1">
      <alignment horizontal="center" vertical="center"/>
    </xf>
    <xf numFmtId="0" fontId="33" fillId="15" borderId="51" xfId="1" applyFont="1" applyFill="1" applyBorder="1" applyAlignment="1">
      <alignment horizontal="center" vertical="center"/>
    </xf>
    <xf numFmtId="10" fontId="10" fillId="6" borderId="81" xfId="0" applyNumberFormat="1" applyFont="1" applyFill="1" applyBorder="1" applyAlignment="1">
      <alignment horizontal="center" vertical="center"/>
    </xf>
    <xf numFmtId="0" fontId="37" fillId="16" borderId="55" xfId="0" applyFont="1" applyFill="1" applyBorder="1" applyAlignment="1">
      <alignment horizontal="center" vertical="center"/>
    </xf>
    <xf numFmtId="0" fontId="37" fillId="16" borderId="56" xfId="0" applyFont="1" applyFill="1" applyBorder="1" applyAlignment="1">
      <alignment horizontal="center" vertical="center"/>
    </xf>
    <xf numFmtId="0" fontId="37" fillId="16" borderId="57" xfId="0" applyFont="1" applyFill="1" applyBorder="1" applyAlignment="1">
      <alignment horizontal="center" vertical="center"/>
    </xf>
    <xf numFmtId="0" fontId="38" fillId="13" borderId="45" xfId="0" applyFont="1" applyFill="1" applyBorder="1" applyAlignment="1">
      <alignment horizontal="center" vertical="center"/>
    </xf>
    <xf numFmtId="0" fontId="11" fillId="5" borderId="58" xfId="1" applyFont="1" applyFill="1" applyBorder="1" applyAlignment="1">
      <alignment horizontal="left" vertical="center"/>
    </xf>
    <xf numFmtId="0" fontId="11" fillId="5" borderId="59" xfId="1" applyFont="1" applyFill="1" applyBorder="1" applyAlignment="1">
      <alignment horizontal="left" vertical="center"/>
    </xf>
    <xf numFmtId="0" fontId="11" fillId="20" borderId="59" xfId="1" applyFont="1" applyFill="1" applyBorder="1" applyAlignment="1">
      <alignment horizontal="left" vertical="center"/>
    </xf>
    <xf numFmtId="0" fontId="38" fillId="13" borderId="52" xfId="0" applyFont="1" applyFill="1" applyBorder="1" applyAlignment="1">
      <alignment horizontal="center" vertical="center"/>
    </xf>
    <xf numFmtId="0" fontId="11" fillId="5" borderId="60" xfId="1" applyFont="1" applyFill="1" applyBorder="1" applyAlignment="1">
      <alignment horizontal="left" vertical="center"/>
    </xf>
    <xf numFmtId="0" fontId="12" fillId="11" borderId="6" xfId="0" applyFont="1" applyFill="1" applyBorder="1" applyAlignment="1">
      <alignment horizontal="center" vertical="center"/>
    </xf>
    <xf numFmtId="0" fontId="11" fillId="11" borderId="11" xfId="1" applyFont="1" applyFill="1" applyBorder="1" applyAlignment="1">
      <alignment horizontal="left" vertical="center"/>
    </xf>
    <xf numFmtId="0" fontId="11" fillId="11" borderId="13" xfId="1" applyFont="1" applyFill="1" applyBorder="1" applyAlignment="1">
      <alignment horizontal="left" vertical="center"/>
    </xf>
    <xf numFmtId="0" fontId="29" fillId="5" borderId="11" xfId="2" applyFont="1" applyFill="1" applyBorder="1" applyAlignment="1">
      <alignment horizontal="center" vertical="center"/>
    </xf>
    <xf numFmtId="0" fontId="29" fillId="5" borderId="12" xfId="2" applyFont="1" applyFill="1" applyBorder="1" applyAlignment="1">
      <alignment horizontal="center" vertical="center"/>
    </xf>
    <xf numFmtId="0" fontId="11" fillId="13" borderId="11" xfId="1" applyFont="1" applyFill="1" applyBorder="1" applyAlignment="1">
      <alignment horizontal="left" vertical="center"/>
    </xf>
    <xf numFmtId="0" fontId="11" fillId="13" borderId="12" xfId="1" applyFont="1" applyFill="1" applyBorder="1" applyAlignment="1">
      <alignment horizontal="left" vertical="center"/>
    </xf>
    <xf numFmtId="0" fontId="11" fillId="13" borderId="13" xfId="1" applyFont="1" applyFill="1" applyBorder="1" applyAlignment="1">
      <alignment horizontal="left" vertical="center"/>
    </xf>
    <xf numFmtId="0" fontId="26" fillId="5" borderId="11" xfId="2" applyFont="1" applyFill="1" applyBorder="1" applyAlignment="1">
      <alignment horizontal="center" vertical="center"/>
    </xf>
    <xf numFmtId="0" fontId="26" fillId="5" borderId="12" xfId="2" applyFont="1" applyFill="1" applyBorder="1" applyAlignment="1">
      <alignment horizontal="center" vertical="center"/>
    </xf>
    <xf numFmtId="0" fontId="19" fillId="5" borderId="11" xfId="2" applyFont="1" applyFill="1" applyBorder="1" applyAlignment="1">
      <alignment horizontal="left" vertical="center"/>
    </xf>
    <xf numFmtId="0" fontId="19" fillId="5" borderId="12" xfId="2" applyFont="1" applyFill="1" applyBorder="1" applyAlignment="1">
      <alignment horizontal="left" vertical="center"/>
    </xf>
    <xf numFmtId="0" fontId="26" fillId="5" borderId="13" xfId="2" applyFont="1" applyFill="1" applyBorder="1" applyAlignment="1">
      <alignment horizontal="center" vertical="center"/>
    </xf>
    <xf numFmtId="0" fontId="22" fillId="9" borderId="9" xfId="0" applyFont="1" applyFill="1" applyBorder="1" applyAlignment="1">
      <alignment horizontal="center" vertical="center"/>
    </xf>
    <xf numFmtId="0" fontId="25" fillId="7" borderId="7" xfId="0" applyFont="1" applyFill="1" applyBorder="1" applyAlignment="1">
      <alignment horizontal="center" vertical="center" wrapText="1" readingOrder="1"/>
    </xf>
    <xf numFmtId="0" fontId="25" fillId="7" borderId="8" xfId="0" applyFont="1" applyFill="1" applyBorder="1" applyAlignment="1">
      <alignment horizontal="center" vertical="center" wrapText="1" readingOrder="1"/>
    </xf>
    <xf numFmtId="0" fontId="18" fillId="14" borderId="11" xfId="1" applyFont="1" applyFill="1" applyBorder="1" applyAlignment="1">
      <alignment horizontal="left" vertical="center"/>
    </xf>
    <xf numFmtId="0" fontId="18" fillId="14" borderId="12" xfId="1" applyFont="1" applyFill="1" applyBorder="1" applyAlignment="1">
      <alignment horizontal="left" vertical="center"/>
    </xf>
    <xf numFmtId="0" fontId="18" fillId="14" borderId="13" xfId="1" applyFont="1" applyFill="1" applyBorder="1" applyAlignment="1">
      <alignment horizontal="left" vertical="center"/>
    </xf>
    <xf numFmtId="0" fontId="19" fillId="5" borderId="11" xfId="2" applyFont="1" applyFill="1" applyBorder="1" applyAlignment="1">
      <alignment horizontal="center" vertical="center"/>
    </xf>
    <xf numFmtId="0" fontId="19" fillId="5" borderId="12" xfId="2" applyFont="1" applyFill="1" applyBorder="1" applyAlignment="1">
      <alignment horizontal="center" vertical="center"/>
    </xf>
    <xf numFmtId="0" fontId="19" fillId="5" borderId="13" xfId="2" applyFont="1" applyFill="1" applyBorder="1" applyAlignment="1">
      <alignment horizontal="center" vertical="center"/>
    </xf>
    <xf numFmtId="0" fontId="22" fillId="8" borderId="9" xfId="0" applyFont="1" applyFill="1" applyBorder="1" applyAlignment="1">
      <alignment horizontal="center" vertical="center"/>
    </xf>
    <xf numFmtId="0" fontId="22" fillId="6" borderId="9" xfId="0" applyFont="1" applyFill="1" applyBorder="1" applyAlignment="1">
      <alignment horizontal="center" vertical="center"/>
    </xf>
    <xf numFmtId="0" fontId="18" fillId="13" borderId="11" xfId="1" applyFont="1" applyFill="1" applyBorder="1" applyAlignment="1">
      <alignment horizontal="left" vertical="center"/>
    </xf>
    <xf numFmtId="0" fontId="19" fillId="5" borderId="17" xfId="2" applyFont="1" applyFill="1" applyBorder="1" applyAlignment="1">
      <alignment horizontal="center" vertical="center"/>
    </xf>
    <xf numFmtId="0" fontId="18" fillId="18" borderId="11" xfId="1" applyFont="1" applyFill="1" applyBorder="1" applyAlignment="1">
      <alignment horizontal="left" vertical="center"/>
    </xf>
    <xf numFmtId="0" fontId="18" fillId="13" borderId="26" xfId="1" applyFont="1" applyFill="1" applyBorder="1" applyAlignment="1">
      <alignment horizontal="left" vertical="center"/>
    </xf>
    <xf numFmtId="0" fontId="18" fillId="13" borderId="12" xfId="1" applyFont="1" applyFill="1" applyBorder="1" applyAlignment="1">
      <alignment horizontal="left" vertical="center"/>
    </xf>
    <xf numFmtId="0" fontId="19" fillId="5" borderId="16" xfId="2" applyFont="1" applyFill="1" applyBorder="1" applyAlignment="1">
      <alignment horizontal="center" vertical="center"/>
    </xf>
    <xf numFmtId="0" fontId="19" fillId="18" borderId="17" xfId="2" applyFont="1" applyFill="1" applyBorder="1" applyAlignment="1">
      <alignment horizontal="center" vertical="center"/>
    </xf>
    <xf numFmtId="0" fontId="22" fillId="9" borderId="6" xfId="0" applyFont="1" applyFill="1" applyBorder="1" applyAlignment="1">
      <alignment horizontal="center" vertical="center"/>
    </xf>
    <xf numFmtId="0" fontId="22" fillId="6" borderId="6" xfId="0" applyFont="1" applyFill="1" applyBorder="1" applyAlignment="1">
      <alignment horizontal="center" vertical="center"/>
    </xf>
    <xf numFmtId="0" fontId="26" fillId="18" borderId="11" xfId="2" applyFont="1" applyFill="1" applyBorder="1" applyAlignment="1">
      <alignment horizontal="center" vertical="center"/>
    </xf>
    <xf numFmtId="0" fontId="19" fillId="5" borderId="34" xfId="2" applyFont="1" applyFill="1" applyBorder="1" applyAlignment="1">
      <alignment horizontal="center" vertical="center"/>
    </xf>
    <xf numFmtId="0" fontId="26" fillId="5" borderId="26" xfId="2" applyFont="1" applyFill="1" applyBorder="1" applyAlignment="1">
      <alignment horizontal="center" vertical="center"/>
    </xf>
    <xf numFmtId="0" fontId="19" fillId="5" borderId="35" xfId="2" applyFont="1" applyFill="1" applyBorder="1" applyAlignment="1">
      <alignment horizontal="center" vertical="center"/>
    </xf>
    <xf numFmtId="0" fontId="26" fillId="5" borderId="24" xfId="2" applyFont="1" applyFill="1" applyBorder="1" applyAlignment="1">
      <alignment horizontal="center" vertical="center"/>
    </xf>
    <xf numFmtId="0" fontId="22" fillId="8" borderId="6" xfId="0" applyFont="1" applyFill="1" applyBorder="1" applyAlignment="1">
      <alignment horizontal="center" vertical="center"/>
    </xf>
    <xf numFmtId="0" fontId="19" fillId="18" borderId="11" xfId="2" applyFont="1" applyFill="1" applyBorder="1" applyAlignment="1">
      <alignment horizontal="center" vertical="center"/>
    </xf>
    <xf numFmtId="0" fontId="12" fillId="16" borderId="21" xfId="0" applyFont="1" applyFill="1" applyBorder="1" applyAlignment="1">
      <alignment horizontal="center" vertical="center"/>
    </xf>
    <xf numFmtId="0" fontId="12" fillId="16" borderId="23" xfId="0" applyFont="1" applyFill="1" applyBorder="1" applyAlignment="1">
      <alignment horizontal="center" vertical="center"/>
    </xf>
    <xf numFmtId="0" fontId="12" fillId="16" borderId="18" xfId="0" applyFont="1" applyFill="1" applyBorder="1" applyAlignment="1">
      <alignment horizontal="center" vertical="center"/>
    </xf>
    <xf numFmtId="0" fontId="12" fillId="16" borderId="27" xfId="0" applyFont="1" applyFill="1" applyBorder="1" applyAlignment="1">
      <alignment horizontal="center" vertical="center"/>
    </xf>
    <xf numFmtId="0" fontId="34" fillId="17" borderId="6" xfId="0" applyFont="1" applyFill="1" applyBorder="1" applyAlignment="1">
      <alignment horizontal="center" vertical="center"/>
    </xf>
    <xf numFmtId="0" fontId="33" fillId="15" borderId="18" xfId="1" applyFont="1" applyFill="1" applyBorder="1" applyAlignment="1">
      <alignment horizontal="center" vertical="center"/>
    </xf>
    <xf numFmtId="0" fontId="33" fillId="15" borderId="19" xfId="1" applyFont="1" applyFill="1" applyBorder="1" applyAlignment="1">
      <alignment horizontal="center" vertical="center"/>
    </xf>
    <xf numFmtId="0" fontId="33" fillId="15" borderId="21" xfId="1" applyFont="1" applyFill="1" applyBorder="1" applyAlignment="1">
      <alignment horizontal="center" vertical="center"/>
    </xf>
    <xf numFmtId="0" fontId="33" fillId="15" borderId="6" xfId="1" applyFont="1" applyFill="1" applyBorder="1" applyAlignment="1">
      <alignment horizontal="center" vertical="center"/>
    </xf>
    <xf numFmtId="0" fontId="33" fillId="15" borderId="36" xfId="1" applyFont="1" applyFill="1" applyBorder="1" applyAlignment="1">
      <alignment horizontal="center" vertical="center"/>
    </xf>
    <xf numFmtId="0" fontId="33" fillId="15" borderId="11" xfId="1" applyFont="1" applyFill="1" applyBorder="1" applyAlignment="1">
      <alignment horizontal="center" vertical="center"/>
    </xf>
    <xf numFmtId="0" fontId="33" fillId="15" borderId="23" xfId="1" applyFont="1" applyFill="1" applyBorder="1" applyAlignment="1">
      <alignment horizontal="center" vertical="center"/>
    </xf>
    <xf numFmtId="0" fontId="33" fillId="15" borderId="24" xfId="1" applyFont="1" applyFill="1" applyBorder="1" applyAlignment="1">
      <alignment horizontal="center" vertical="center"/>
    </xf>
    <xf numFmtId="0" fontId="11" fillId="18" borderId="11" xfId="1" applyFont="1" applyFill="1" applyBorder="1" applyAlignment="1">
      <alignment horizontal="left" vertical="center"/>
    </xf>
    <xf numFmtId="0" fontId="11" fillId="18" borderId="12" xfId="1" applyFont="1" applyFill="1" applyBorder="1" applyAlignment="1">
      <alignment horizontal="left" vertical="center"/>
    </xf>
    <xf numFmtId="0" fontId="11" fillId="18" borderId="28" xfId="1" applyFont="1" applyFill="1" applyBorder="1" applyAlignment="1">
      <alignment horizontal="left" vertical="center"/>
    </xf>
    <xf numFmtId="0" fontId="19" fillId="18" borderId="11" xfId="2" applyFont="1" applyFill="1" applyBorder="1" applyAlignment="1">
      <alignment horizontal="left" vertical="center"/>
    </xf>
    <xf numFmtId="0" fontId="19" fillId="18" borderId="12" xfId="2" applyFont="1" applyFill="1" applyBorder="1" applyAlignment="1">
      <alignment horizontal="left" vertical="center"/>
    </xf>
    <xf numFmtId="0" fontId="26" fillId="18" borderId="12" xfId="2" applyFont="1" applyFill="1" applyBorder="1" applyAlignment="1">
      <alignment horizontal="center" vertical="center"/>
    </xf>
    <xf numFmtId="0" fontId="26" fillId="18" borderId="13" xfId="2" applyFont="1" applyFill="1" applyBorder="1" applyAlignment="1">
      <alignment horizontal="center" vertical="center"/>
    </xf>
    <xf numFmtId="0" fontId="22" fillId="9" borderId="11" xfId="0" applyFont="1" applyFill="1" applyBorder="1" applyAlignment="1">
      <alignment horizontal="center" vertical="center"/>
    </xf>
    <xf numFmtId="0" fontId="12" fillId="0" borderId="6" xfId="0" applyFont="1" applyBorder="1" applyAlignment="1">
      <alignment horizontal="center" vertical="top"/>
    </xf>
    <xf numFmtId="0" fontId="12" fillId="0" borderId="11" xfId="0" applyFont="1" applyBorder="1" applyAlignment="1">
      <alignment horizontal="center" vertical="top" wrapText="1"/>
    </xf>
    <xf numFmtId="0" fontId="12" fillId="0" borderId="12" xfId="0" applyFont="1" applyBorder="1" applyAlignment="1">
      <alignment horizontal="center" vertical="top"/>
    </xf>
    <xf numFmtId="0" fontId="12" fillId="0" borderId="13" xfId="0" applyFont="1" applyBorder="1" applyAlignment="1">
      <alignment horizontal="center" vertical="top"/>
    </xf>
    <xf numFmtId="0" fontId="3" fillId="17" borderId="7" xfId="0" applyFont="1" applyFill="1" applyBorder="1" applyAlignment="1">
      <alignment horizontal="center" vertical="center" wrapText="1" readingOrder="1"/>
    </xf>
    <xf numFmtId="0" fontId="3" fillId="17" borderId="8" xfId="0" applyFont="1" applyFill="1" applyBorder="1" applyAlignment="1">
      <alignment horizontal="center" vertical="center" wrapText="1" readingOrder="1"/>
    </xf>
    <xf numFmtId="0" fontId="3" fillId="17" borderId="118" xfId="0" applyFont="1" applyFill="1" applyBorder="1" applyAlignment="1">
      <alignment horizontal="center" vertical="center" wrapText="1" readingOrder="1"/>
    </xf>
    <xf numFmtId="0" fontId="3" fillId="17" borderId="0" xfId="0" applyFont="1" applyFill="1" applyAlignment="1">
      <alignment horizontal="center" vertical="center" wrapText="1" readingOrder="1"/>
    </xf>
    <xf numFmtId="0" fontId="10" fillId="0" borderId="7" xfId="0" applyFont="1" applyBorder="1" applyAlignment="1">
      <alignment horizontal="left" vertical="center" wrapText="1"/>
    </xf>
    <xf numFmtId="0" fontId="10" fillId="0" borderId="10" xfId="0" applyFont="1" applyBorder="1" applyAlignment="1">
      <alignment horizontal="left" vertical="center" wrapText="1"/>
    </xf>
    <xf numFmtId="0" fontId="10" fillId="0" borderId="7" xfId="0" applyFont="1" applyBorder="1" applyAlignment="1">
      <alignment horizontal="left" vertical="center"/>
    </xf>
    <xf numFmtId="0" fontId="10" fillId="0" borderId="8" xfId="0" applyFont="1" applyBorder="1" applyAlignment="1">
      <alignment horizontal="left" vertical="center"/>
    </xf>
    <xf numFmtId="0" fontId="10" fillId="0" borderId="8" xfId="0" applyFont="1" applyBorder="1" applyAlignment="1">
      <alignment horizontal="left" vertical="center" wrapText="1"/>
    </xf>
    <xf numFmtId="0" fontId="12" fillId="0" borderId="11" xfId="0" applyFont="1" applyBorder="1" applyAlignment="1">
      <alignment horizontal="center" vertical="top"/>
    </xf>
    <xf numFmtId="0" fontId="12" fillId="0" borderId="6" xfId="0" applyFont="1" applyBorder="1" applyAlignment="1">
      <alignment horizontal="center" vertical="center"/>
    </xf>
    <xf numFmtId="0" fontId="1" fillId="3" borderId="2" xfId="0" applyFont="1" applyFill="1" applyBorder="1" applyAlignment="1">
      <alignment horizontal="center" vertical="center" wrapText="1" readingOrder="1"/>
    </xf>
    <xf numFmtId="0" fontId="1" fillId="3" borderId="4" xfId="0" applyFont="1" applyFill="1" applyBorder="1" applyAlignment="1">
      <alignment horizontal="center" vertical="center" wrapText="1" readingOrder="1"/>
    </xf>
    <xf numFmtId="0" fontId="1" fillId="3" borderId="3" xfId="0" applyFont="1" applyFill="1" applyBorder="1" applyAlignment="1">
      <alignment horizontal="center" vertical="center" wrapText="1" readingOrder="1"/>
    </xf>
    <xf numFmtId="10" fontId="1" fillId="4" borderId="2" xfId="0" applyNumberFormat="1" applyFont="1" applyFill="1" applyBorder="1" applyAlignment="1">
      <alignment horizontal="center" vertical="center" wrapText="1" readingOrder="1"/>
    </xf>
    <xf numFmtId="10" fontId="1" fillId="4" borderId="3" xfId="0" applyNumberFormat="1" applyFont="1" applyFill="1" applyBorder="1" applyAlignment="1">
      <alignment horizontal="center" vertical="center" wrapText="1" readingOrder="1"/>
    </xf>
    <xf numFmtId="0" fontId="1" fillId="4" borderId="2" xfId="0" applyFont="1" applyFill="1" applyBorder="1" applyAlignment="1">
      <alignment horizontal="center" vertical="center" wrapText="1" readingOrder="1"/>
    </xf>
    <xf numFmtId="0" fontId="1" fillId="4" borderId="4" xfId="0" applyFont="1" applyFill="1" applyBorder="1" applyAlignment="1">
      <alignment horizontal="center" vertical="center" wrapText="1" readingOrder="1"/>
    </xf>
    <xf numFmtId="0" fontId="4" fillId="0" borderId="2" xfId="0" applyFont="1" applyBorder="1" applyAlignment="1">
      <alignment horizontal="left" vertical="center" wrapText="1" indent="1" readingOrder="1"/>
    </xf>
    <xf numFmtId="0" fontId="4" fillId="0" borderId="4" xfId="0" applyFont="1" applyBorder="1" applyAlignment="1">
      <alignment horizontal="left" vertical="center" wrapText="1" indent="1" readingOrder="1"/>
    </xf>
    <xf numFmtId="0" fontId="4" fillId="0" borderId="2" xfId="0" applyFont="1" applyBorder="1" applyAlignment="1">
      <alignment vertical="center" wrapText="1"/>
    </xf>
    <xf numFmtId="0" fontId="4" fillId="0" borderId="4" xfId="0" applyFont="1" applyBorder="1" applyAlignment="1">
      <alignment vertical="center" wrapText="1"/>
    </xf>
  </cellXfs>
  <cellStyles count="4">
    <cellStyle name="Hyperlink" xfId="2" xr:uid="{00000000-000B-0000-0000-000008000000}"/>
    <cellStyle name="백분율" xfId="3" builtinId="5"/>
    <cellStyle name="표준" xfId="0" builtinId="0"/>
    <cellStyle name="표준_면세점 리뉴얼 일정표_WBS" xfId="1" xr:uid="{9B118889-DCE4-4A48-AE36-EB1D8A0D2B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스프린트</a:t>
            </a:r>
            <a:r>
              <a:rPr lang="en-US" altLang="ko-KR"/>
              <a:t>3</a:t>
            </a:r>
            <a:r>
              <a:rPr lang="en-US" altLang="ko-KR" baseline="0"/>
              <a:t> - </a:t>
            </a:r>
            <a:r>
              <a:rPr lang="ko-KR" altLang="en-US" baseline="0"/>
              <a:t>답변 정확도</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tx>
            <c:v>RAGAS</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타겟_모니터링!$G$3:$J$3</c:f>
              <c:strCache>
                <c:ptCount val="4"/>
                <c:pt idx="0">
                  <c:v>2026-01-19</c:v>
                </c:pt>
                <c:pt idx="1">
                  <c:v>2026-01-26</c:v>
                </c:pt>
                <c:pt idx="2">
                  <c:v>2026-02-02</c:v>
                </c:pt>
                <c:pt idx="3">
                  <c:v>2026-02-09
(02-06 반영)</c:v>
                </c:pt>
              </c:strCache>
            </c:strRef>
          </c:cat>
          <c:val>
            <c:numRef>
              <c:f>타겟_모니터링!$G$4:$J$4</c:f>
              <c:numCache>
                <c:formatCode>0.0%</c:formatCode>
                <c:ptCount val="4"/>
                <c:pt idx="0">
                  <c:v>0.53</c:v>
                </c:pt>
                <c:pt idx="1">
                  <c:v>0.74</c:v>
                </c:pt>
                <c:pt idx="2">
                  <c:v>0.70619999999999994</c:v>
                </c:pt>
                <c:pt idx="3">
                  <c:v>0.70074999999999998</c:v>
                </c:pt>
              </c:numCache>
            </c:numRef>
          </c:val>
          <c:smooth val="0"/>
          <c:extLst>
            <c:ext xmlns:c16="http://schemas.microsoft.com/office/drawing/2014/chart" uri="{C3380CC4-5D6E-409C-BE32-E72D297353CC}">
              <c16:uniqueId val="{00000000-BE0C-481C-AEB5-7AAB51CDD9A3}"/>
            </c:ext>
          </c:extLst>
        </c:ser>
        <c:ser>
          <c:idx val="1"/>
          <c:order val="1"/>
          <c:tx>
            <c:v>LLM Judge</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타겟_모니터링!$G$3:$J$3</c:f>
              <c:strCache>
                <c:ptCount val="4"/>
                <c:pt idx="0">
                  <c:v>2026-01-19</c:v>
                </c:pt>
                <c:pt idx="1">
                  <c:v>2026-01-26</c:v>
                </c:pt>
                <c:pt idx="2">
                  <c:v>2026-02-02</c:v>
                </c:pt>
                <c:pt idx="3">
                  <c:v>2026-02-09
(02-06 반영)</c:v>
                </c:pt>
              </c:strCache>
            </c:strRef>
          </c:cat>
          <c:val>
            <c:numRef>
              <c:f>타겟_모니터링!$G$5:$J$5</c:f>
              <c:numCache>
                <c:formatCode>0.0%</c:formatCode>
                <c:ptCount val="4"/>
                <c:pt idx="0">
                  <c:v>0</c:v>
                </c:pt>
                <c:pt idx="1">
                  <c:v>0.59</c:v>
                </c:pt>
                <c:pt idx="2">
                  <c:v>0.61440000000000006</c:v>
                </c:pt>
                <c:pt idx="3">
                  <c:v>0.61099999999999999</c:v>
                </c:pt>
              </c:numCache>
            </c:numRef>
          </c:val>
          <c:smooth val="0"/>
          <c:extLst>
            <c:ext xmlns:c16="http://schemas.microsoft.com/office/drawing/2014/chart" uri="{C3380CC4-5D6E-409C-BE32-E72D297353CC}">
              <c16:uniqueId val="{00000001-BE0C-481C-AEB5-7AAB51CDD9A3}"/>
            </c:ext>
          </c:extLst>
        </c:ser>
        <c:ser>
          <c:idx val="2"/>
          <c:order val="2"/>
          <c:tx>
            <c:v>Human</c:v>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타겟_모니터링!$G$3:$J$3</c:f>
              <c:strCache>
                <c:ptCount val="4"/>
                <c:pt idx="0">
                  <c:v>2026-01-19</c:v>
                </c:pt>
                <c:pt idx="1">
                  <c:v>2026-01-26</c:v>
                </c:pt>
                <c:pt idx="2">
                  <c:v>2026-02-02</c:v>
                </c:pt>
                <c:pt idx="3">
                  <c:v>2026-02-09
(02-06 반영)</c:v>
                </c:pt>
              </c:strCache>
            </c:strRef>
          </c:cat>
          <c:val>
            <c:numRef>
              <c:f>타겟_모니터링!$G$6:$J$6</c:f>
              <c:numCache>
                <c:formatCode>0.0%</c:formatCode>
                <c:ptCount val="4"/>
                <c:pt idx="0">
                  <c:v>0.37</c:v>
                </c:pt>
                <c:pt idx="1">
                  <c:v>0.57809999999999995</c:v>
                </c:pt>
              </c:numCache>
            </c:numRef>
          </c:val>
          <c:smooth val="0"/>
          <c:extLst>
            <c:ext xmlns:c16="http://schemas.microsoft.com/office/drawing/2014/chart" uri="{C3380CC4-5D6E-409C-BE32-E72D297353CC}">
              <c16:uniqueId val="{00000002-BE0C-481C-AEB5-7AAB51CDD9A3}"/>
            </c:ext>
          </c:extLst>
        </c:ser>
        <c:dLbls>
          <c:showLegendKey val="0"/>
          <c:showVal val="0"/>
          <c:showCatName val="0"/>
          <c:showSerName val="0"/>
          <c:showPercent val="0"/>
          <c:showBubbleSize val="0"/>
        </c:dLbls>
        <c:smooth val="0"/>
        <c:axId val="89585776"/>
        <c:axId val="89586736"/>
      </c:lineChart>
      <c:catAx>
        <c:axId val="89585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86736"/>
        <c:crosses val="autoZero"/>
        <c:auto val="0"/>
        <c:lblAlgn val="ctr"/>
        <c:lblOffset val="100"/>
        <c:noMultiLvlLbl val="0"/>
      </c:catAx>
      <c:valAx>
        <c:axId val="89586736"/>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85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스프린트 </a:t>
            </a:r>
            <a:r>
              <a:rPr lang="en-US" altLang="ko-KR"/>
              <a:t>- </a:t>
            </a:r>
            <a:r>
              <a:rPr lang="ko-KR" altLang="en-US"/>
              <a:t>답변 정확도</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타겟_모니터링_지표!$G$4:$M$4</c:f>
              <c:numCache>
                <c:formatCode>0.0%</c:formatCode>
                <c:ptCount val="7"/>
                <c:pt idx="0">
                  <c:v>0.53</c:v>
                </c:pt>
                <c:pt idx="1">
                  <c:v>0.74</c:v>
                </c:pt>
                <c:pt idx="2">
                  <c:v>0.70074999999999998</c:v>
                </c:pt>
                <c:pt idx="3">
                  <c:v>0.77183333333333337</c:v>
                </c:pt>
                <c:pt idx="4">
                  <c:v>0</c:v>
                </c:pt>
                <c:pt idx="5">
                  <c:v>0</c:v>
                </c:pt>
                <c:pt idx="6">
                  <c:v>0</c:v>
                </c:pt>
              </c:numCache>
            </c:numRef>
          </c:val>
          <c:smooth val="0"/>
          <c:extLst>
            <c:ext xmlns:c15="http://schemas.microsoft.com/office/drawing/2012/chart" uri="{02D57815-91ED-43cb-92C2-25804820EDAC}">
              <c15:filteredSeriesTitle>
                <c15:tx>
                  <c:strRef>
                    <c:extLst>
                      <c:ext uri="{02D57815-91ED-43cb-92C2-25804820EDAC}">
                        <c15:formulaRef>
                          <c15:sqref>{"RAGAS"}</c15:sqref>
                        </c15:formulaRef>
                      </c:ext>
                    </c:extLst>
                    <c:strCache>
                      <c:ptCount val="1"/>
                      <c:pt idx="0">
                        <c:v>RAGAS</c:v>
                      </c:pt>
                    </c:strCache>
                  </c:strRef>
                </c15:tx>
              </c15:filteredSeriesTitle>
            </c:ext>
            <c:ext xmlns:c16="http://schemas.microsoft.com/office/drawing/2014/chart" uri="{C3380CC4-5D6E-409C-BE32-E72D297353CC}">
              <c16:uniqueId val="{00000001-6FF3-4D42-978A-021E434F89BB}"/>
            </c:ext>
          </c:extLst>
        </c:ser>
        <c:ser>
          <c:idx val="1"/>
          <c:order val="1"/>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타겟_모니터링_지표!$G$5:$M$5</c:f>
              <c:numCache>
                <c:formatCode>0.0%</c:formatCode>
                <c:ptCount val="7"/>
                <c:pt idx="0">
                  <c:v>0</c:v>
                </c:pt>
                <c:pt idx="1">
                  <c:v>0.59</c:v>
                </c:pt>
                <c:pt idx="2">
                  <c:v>0.61099999999999999</c:v>
                </c:pt>
                <c:pt idx="3">
                  <c:v>0.67199999999999982</c:v>
                </c:pt>
                <c:pt idx="4">
                  <c:v>0.12766666666666668</c:v>
                </c:pt>
                <c:pt idx="5">
                  <c:v>0.68202499999999999</c:v>
                </c:pt>
                <c:pt idx="6">
                  <c:v>0.70080000000000009</c:v>
                </c:pt>
              </c:numCache>
            </c:numRef>
          </c:val>
          <c:smooth val="0"/>
          <c:extLst>
            <c:ext xmlns:c15="http://schemas.microsoft.com/office/drawing/2012/chart" uri="{02D57815-91ED-43cb-92C2-25804820EDAC}">
              <c15:filteredSeriesTitle>
                <c15:tx>
                  <c:strRef>
                    <c:extLst>
                      <c:ext uri="{02D57815-91ED-43cb-92C2-25804820EDAC}">
                        <c15:formulaRef>
                          <c15:sqref>{"LLM Judge"}</c15:sqref>
                        </c15:formulaRef>
                      </c:ext>
                    </c:extLst>
                    <c:strCache>
                      <c:ptCount val="1"/>
                      <c:pt idx="0">
                        <c:v>LLM Judge</c:v>
                      </c:pt>
                    </c:strCache>
                  </c:strRef>
                </c15:tx>
              </c15:filteredSeriesTitle>
            </c:ext>
            <c:ext xmlns:c16="http://schemas.microsoft.com/office/drawing/2014/chart" uri="{C3380CC4-5D6E-409C-BE32-E72D297353CC}">
              <c16:uniqueId val="{00000003-6FF3-4D42-978A-021E434F89BB}"/>
            </c:ext>
          </c:extLst>
        </c:ser>
        <c:ser>
          <c:idx val="2"/>
          <c:order val="2"/>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타겟_모니터링_지표!$G$6:$M$6</c:f>
              <c:numCache>
                <c:formatCode>0.0%</c:formatCode>
                <c:ptCount val="7"/>
                <c:pt idx="0">
                  <c:v>0.37</c:v>
                </c:pt>
                <c:pt idx="1">
                  <c:v>0.57809999999999995</c:v>
                </c:pt>
              </c:numCache>
            </c:numRef>
          </c:val>
          <c:smooth val="0"/>
          <c:extLst>
            <c:ext xmlns:c15="http://schemas.microsoft.com/office/drawing/2012/chart" uri="{02D57815-91ED-43cb-92C2-25804820EDAC}">
              <c15:filteredSeriesTitle>
                <c15:tx>
                  <c:strRef>
                    <c:extLst>
                      <c:ext uri="{02D57815-91ED-43cb-92C2-25804820EDAC}">
                        <c15:formulaRef>
                          <c15:sqref>{"Human"}</c15:sqref>
                        </c15:formulaRef>
                      </c:ext>
                    </c:extLst>
                    <c:strCache>
                      <c:ptCount val="1"/>
                      <c:pt idx="0">
                        <c:v>Human</c:v>
                      </c:pt>
                    </c:strCache>
                  </c:strRef>
                </c15:tx>
              </c15:filteredSeriesTitle>
            </c:ext>
            <c:ext xmlns:c16="http://schemas.microsoft.com/office/drawing/2014/chart" uri="{C3380CC4-5D6E-409C-BE32-E72D297353CC}">
              <c16:uniqueId val="{00000005-6FF3-4D42-978A-021E434F89BB}"/>
            </c:ext>
          </c:extLst>
        </c:ser>
        <c:dLbls>
          <c:showLegendKey val="0"/>
          <c:showVal val="0"/>
          <c:showCatName val="0"/>
          <c:showSerName val="0"/>
          <c:showPercent val="0"/>
          <c:showBubbleSize val="0"/>
        </c:dLbls>
        <c:smooth val="0"/>
        <c:axId val="89585776"/>
        <c:axId val="89586736"/>
      </c:lineChart>
      <c:catAx>
        <c:axId val="89585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86736"/>
        <c:crosses val="autoZero"/>
        <c:auto val="0"/>
        <c:lblAlgn val="ctr"/>
        <c:lblOffset val="100"/>
        <c:noMultiLvlLbl val="0"/>
      </c:catAx>
      <c:valAx>
        <c:axId val="89586736"/>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89585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답변 수용도</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타겟.모니터링!$K$4</c:f>
            </c:strRef>
          </c:tx>
          <c:spPr>
            <a:solidFill>
              <a:schemeClr val="accent1"/>
            </a:solidFill>
            <a:ln>
              <a:noFill/>
            </a:ln>
            <a:effectLst/>
          </c:spPr>
          <c:invertIfNegative val="0"/>
          <c:val>
            <c:numRef>
              <c:f>타겟.모니터링!$L$4:$Z$4</c:f>
            </c:numRef>
          </c:val>
          <c:extLst>
            <c:ext xmlns:c16="http://schemas.microsoft.com/office/drawing/2014/chart" uri="{C3380CC4-5D6E-409C-BE32-E72D297353CC}">
              <c16:uniqueId val="{00000031-5276-4E41-B140-EFB63781F470}"/>
            </c:ext>
          </c:extLst>
        </c:ser>
        <c:dLbls>
          <c:showLegendKey val="0"/>
          <c:showVal val="0"/>
          <c:showCatName val="0"/>
          <c:showSerName val="0"/>
          <c:showPercent val="0"/>
          <c:showBubbleSize val="0"/>
        </c:dLbls>
        <c:gapWidth val="219"/>
        <c:overlap val="-27"/>
        <c:axId val="1652098568"/>
        <c:axId val="1652100616"/>
      </c:barChart>
      <c:catAx>
        <c:axId val="16520985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00616"/>
        <c:crosses val="autoZero"/>
        <c:auto val="1"/>
        <c:lblAlgn val="ctr"/>
        <c:lblOffset val="100"/>
        <c:noMultiLvlLbl val="0"/>
      </c:catAx>
      <c:valAx>
        <c:axId val="1652100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098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ko-KR" altLang="en-US"/>
              <a:t>요약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타겟.모니터링!$K$5</c:f>
            </c:strRef>
          </c:tx>
          <c:spPr>
            <a:solidFill>
              <a:schemeClr val="accent1"/>
            </a:solidFill>
            <a:ln>
              <a:noFill/>
            </a:ln>
            <a:effectLst/>
          </c:spPr>
          <c:invertIfNegative val="0"/>
          <c:val>
            <c:numRef>
              <c:f>타겟.모니터링!$L$5:$Z$5</c:f>
            </c:numRef>
          </c:val>
          <c:extLst>
            <c:ext xmlns:c16="http://schemas.microsoft.com/office/drawing/2014/chart" uri="{C3380CC4-5D6E-409C-BE32-E72D297353CC}">
              <c16:uniqueId val="{00000017-ACB2-473B-94D1-B6ADF9B1921F}"/>
            </c:ext>
          </c:extLst>
        </c:ser>
        <c:dLbls>
          <c:showLegendKey val="0"/>
          <c:showVal val="0"/>
          <c:showCatName val="0"/>
          <c:showSerName val="0"/>
          <c:showPercent val="0"/>
          <c:showBubbleSize val="0"/>
        </c:dLbls>
        <c:gapWidth val="219"/>
        <c:overlap val="-27"/>
        <c:axId val="1652098568"/>
        <c:axId val="1652100616"/>
      </c:barChart>
      <c:catAx>
        <c:axId val="1652098568"/>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100616"/>
        <c:crosses val="autoZero"/>
        <c:auto val="1"/>
        <c:lblAlgn val="ctr"/>
        <c:lblOffset val="100"/>
        <c:noMultiLvlLbl val="0"/>
      </c:catAx>
      <c:valAx>
        <c:axId val="16521006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098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64</xdr:row>
      <xdr:rowOff>114300</xdr:rowOff>
    </xdr:from>
    <xdr:to>
      <xdr:col>9</xdr:col>
      <xdr:colOff>228600</xdr:colOff>
      <xdr:row>71</xdr:row>
      <xdr:rowOff>19050</xdr:rowOff>
    </xdr:to>
    <xdr:pic>
      <xdr:nvPicPr>
        <xdr:cNvPr id="2" name="그림 1">
          <a:extLst>
            <a:ext uri="{FF2B5EF4-FFF2-40B4-BE49-F238E27FC236}">
              <a16:creationId xmlns:a16="http://schemas.microsoft.com/office/drawing/2014/main" id="{8336A4E3-E951-406D-80F0-8339F5D004C6}"/>
            </a:ext>
          </a:extLst>
        </xdr:cNvPr>
        <xdr:cNvPicPr>
          <a:picLocks noChangeAspect="1"/>
        </xdr:cNvPicPr>
      </xdr:nvPicPr>
      <xdr:blipFill>
        <a:blip xmlns:r="http://schemas.openxmlformats.org/officeDocument/2006/relationships" r:embed="rId1"/>
        <a:stretch>
          <a:fillRect/>
        </a:stretch>
      </xdr:blipFill>
      <xdr:spPr>
        <a:xfrm>
          <a:off x="847725" y="7553325"/>
          <a:ext cx="5153025" cy="1371600"/>
        </a:xfrm>
        <a:prstGeom prst="rect">
          <a:avLst/>
        </a:prstGeom>
      </xdr:spPr>
    </xdr:pic>
    <xdr:clientData/>
  </xdr:twoCellAnchor>
  <xdr:twoCellAnchor editAs="oneCell">
    <xdr:from>
      <xdr:col>7</xdr:col>
      <xdr:colOff>609600</xdr:colOff>
      <xdr:row>72</xdr:row>
      <xdr:rowOff>9525</xdr:rowOff>
    </xdr:from>
    <xdr:to>
      <xdr:col>13</xdr:col>
      <xdr:colOff>638175</xdr:colOff>
      <xdr:row>81</xdr:row>
      <xdr:rowOff>95250</xdr:rowOff>
    </xdr:to>
    <xdr:pic>
      <xdr:nvPicPr>
        <xdr:cNvPr id="3" name="그림 23">
          <a:extLst>
            <a:ext uri="{FF2B5EF4-FFF2-40B4-BE49-F238E27FC236}">
              <a16:creationId xmlns:a16="http://schemas.microsoft.com/office/drawing/2014/main" id="{008CF10A-E1C9-43AF-AAB7-AD7061CA64CD}"/>
            </a:ext>
            <a:ext uri="{147F2762-F138-4A5C-976F-8EAC2B608ADB}">
              <a16:predDERef xmlns:a16="http://schemas.microsoft.com/office/drawing/2014/main" pred="{8336A4E3-E951-406D-80F0-8339F5D004C6}"/>
            </a:ext>
          </a:extLst>
        </xdr:cNvPr>
        <xdr:cNvPicPr>
          <a:picLocks noChangeAspect="1"/>
        </xdr:cNvPicPr>
      </xdr:nvPicPr>
      <xdr:blipFill>
        <a:blip xmlns:r="http://schemas.openxmlformats.org/officeDocument/2006/relationships" r:embed="rId2"/>
        <a:stretch>
          <a:fillRect/>
        </a:stretch>
      </xdr:blipFill>
      <xdr:spPr>
        <a:xfrm>
          <a:off x="5076825" y="9124950"/>
          <a:ext cx="4572000" cy="1971675"/>
        </a:xfrm>
        <a:prstGeom prst="rect">
          <a:avLst/>
        </a:prstGeom>
      </xdr:spPr>
    </xdr:pic>
    <xdr:clientData/>
  </xdr:twoCellAnchor>
  <xdr:twoCellAnchor editAs="oneCell">
    <xdr:from>
      <xdr:col>1</xdr:col>
      <xdr:colOff>0</xdr:colOff>
      <xdr:row>72</xdr:row>
      <xdr:rowOff>0</xdr:rowOff>
    </xdr:from>
    <xdr:to>
      <xdr:col>8</xdr:col>
      <xdr:colOff>200025</xdr:colOff>
      <xdr:row>78</xdr:row>
      <xdr:rowOff>180975</xdr:rowOff>
    </xdr:to>
    <xdr:pic>
      <xdr:nvPicPr>
        <xdr:cNvPr id="4" name="그림 24">
          <a:extLst>
            <a:ext uri="{FF2B5EF4-FFF2-40B4-BE49-F238E27FC236}">
              <a16:creationId xmlns:a16="http://schemas.microsoft.com/office/drawing/2014/main" id="{E8C5C25C-5873-45A5-BB5F-FD5D7FE315E4}"/>
            </a:ext>
            <a:ext uri="{147F2762-F138-4A5C-976F-8EAC2B608ADB}">
              <a16:predDERef xmlns:a16="http://schemas.microsoft.com/office/drawing/2014/main" pred="{008CF10A-E1C9-43AF-AAB7-AD7061CA64CD}"/>
            </a:ext>
          </a:extLst>
        </xdr:cNvPr>
        <xdr:cNvPicPr>
          <a:picLocks noChangeAspect="1"/>
        </xdr:cNvPicPr>
      </xdr:nvPicPr>
      <xdr:blipFill>
        <a:blip xmlns:r="http://schemas.openxmlformats.org/officeDocument/2006/relationships" r:embed="rId3"/>
        <a:stretch>
          <a:fillRect/>
        </a:stretch>
      </xdr:blipFill>
      <xdr:spPr>
        <a:xfrm>
          <a:off x="742950" y="9115425"/>
          <a:ext cx="4543425" cy="1438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22</xdr:col>
      <xdr:colOff>548641</xdr:colOff>
      <xdr:row>1</xdr:row>
      <xdr:rowOff>47631</xdr:rowOff>
    </xdr:from>
    <xdr:to>
      <xdr:col>28</xdr:col>
      <xdr:colOff>649607</xdr:colOff>
      <xdr:row>20</xdr:row>
      <xdr:rowOff>53340</xdr:rowOff>
    </xdr:to>
    <xdr:graphicFrame macro="">
      <xdr:nvGraphicFramePr>
        <xdr:cNvPr id="9" name="차트 2">
          <a:extLst>
            <a:ext uri="{FF2B5EF4-FFF2-40B4-BE49-F238E27FC236}">
              <a16:creationId xmlns:a16="http://schemas.microsoft.com/office/drawing/2014/main" id="{07FBA596-2028-B3E7-908A-999A5E343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809625</xdr:colOff>
      <xdr:row>0</xdr:row>
      <xdr:rowOff>0</xdr:rowOff>
    </xdr:from>
    <xdr:to>
      <xdr:col>32</xdr:col>
      <xdr:colOff>533400</xdr:colOff>
      <xdr:row>19</xdr:row>
      <xdr:rowOff>19050</xdr:rowOff>
    </xdr:to>
    <xdr:graphicFrame macro="">
      <xdr:nvGraphicFramePr>
        <xdr:cNvPr id="5" name="차트 2">
          <a:extLst>
            <a:ext uri="{FF2B5EF4-FFF2-40B4-BE49-F238E27FC236}">
              <a16:creationId xmlns:a16="http://schemas.microsoft.com/office/drawing/2014/main" id="{7CD64373-149E-4330-B33C-9934E9C7C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142875</xdr:colOff>
      <xdr:row>52</xdr:row>
      <xdr:rowOff>19050</xdr:rowOff>
    </xdr:from>
    <xdr:to>
      <xdr:col>38</xdr:col>
      <xdr:colOff>104775</xdr:colOff>
      <xdr:row>59</xdr:row>
      <xdr:rowOff>161925</xdr:rowOff>
    </xdr:to>
    <xdr:sp macro="" textlink="">
      <xdr:nvSpPr>
        <xdr:cNvPr id="20" name="TextBox 2">
          <a:extLst>
            <a:ext uri="{FF2B5EF4-FFF2-40B4-BE49-F238E27FC236}">
              <a16:creationId xmlns:a16="http://schemas.microsoft.com/office/drawing/2014/main" id="{C0C82379-C5BD-4644-53D2-3507486AC52E}"/>
            </a:ext>
            <a:ext uri="{147F2762-F138-4A5C-976F-8EAC2B608ADB}">
              <a16:predDERef xmlns:a16="http://schemas.microsoft.com/office/drawing/2014/main" pred="{7CD64373-149E-4330-B33C-9934E9C7C445}"/>
            </a:ext>
          </a:extLst>
        </xdr:cNvPr>
        <xdr:cNvSpPr txBox="1"/>
      </xdr:nvSpPr>
      <xdr:spPr>
        <a:xfrm>
          <a:off x="23231475" y="11410950"/>
          <a:ext cx="4762500" cy="1676400"/>
        </a:xfrm>
        <a:prstGeom prst="rect">
          <a:avLst/>
        </a:prstGeom>
        <a:solidFill>
          <a:schemeClr val="bg1">
            <a:lumMod val="95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LLM Judge </a:t>
          </a:r>
          <a:r>
            <a:rPr lang="ko-KR" altLang="en-US" sz="800" b="0" i="0" u="none" strike="noStrike">
              <a:solidFill>
                <a:srgbClr val="000000"/>
              </a:solidFill>
              <a:latin typeface="+mn-lt"/>
              <a:ea typeface="+mn-lt"/>
              <a:cs typeface="+mn-lt"/>
            </a:rPr>
            <a:t>오</a:t>
          </a:r>
          <a:r>
            <a:rPr lang="ko-KR" altLang="en-US"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답 </a:t>
          </a:r>
          <a:r>
            <a:rPr lang="ko-KR" altLang="en-US" sz="800" b="0" i="0" u="none" strike="noStrike">
              <a:solidFill>
                <a:srgbClr val="000000"/>
              </a:solidFill>
              <a:latin typeface="+mn-lt"/>
              <a:ea typeface="+mn-lt"/>
              <a:cs typeface="+mn-lt"/>
            </a:rPr>
            <a:t>기준</a:t>
          </a:r>
          <a:r>
            <a:rPr lang="en-US" altLang="ko-KR" sz="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a:t>
          </a:r>
          <a:r>
            <a:rPr lang="ko-KR" altLang="en-US" sz="800">
              <a:latin typeface="+mn-lt"/>
              <a:ea typeface="+mn-lt"/>
              <a:cs typeface="+mn-lt"/>
            </a:rPr>
            <a:t>다음 중 하나라도 해당</a:t>
          </a:r>
          <a:r>
            <a:rPr lang="en-US" altLang="ko-KR" sz="800">
              <a:latin typeface="+mn-lt"/>
              <a:ea typeface="+mn-lt"/>
              <a:cs typeface="+mn-lt"/>
            </a:rPr>
            <a:t>:</a:t>
          </a:r>
        </a:p>
        <a:p>
          <a:pPr marL="0" indent="0" algn="l"/>
          <a:r>
            <a:rPr lang="en-US" altLang="ko-KR" sz="800">
              <a:latin typeface="+mn-lt"/>
              <a:ea typeface="+mn-lt"/>
              <a:cs typeface="+mn-lt"/>
            </a:rPr>
            <a:t>- </a:t>
          </a:r>
          <a:r>
            <a:rPr lang="en-US" sz="800">
              <a:latin typeface="+mn-lt"/>
              <a:ea typeface="+mn-lt"/>
              <a:cs typeface="+mn-lt"/>
            </a:rPr>
            <a:t>Reference</a:t>
          </a:r>
          <a:r>
            <a:rPr lang="ko-KR" altLang="en-US" sz="800">
              <a:latin typeface="+mn-lt"/>
              <a:ea typeface="+mn-lt"/>
              <a:cs typeface="+mn-lt"/>
            </a:rPr>
            <a:t>와 </a:t>
          </a:r>
          <a:r>
            <a:rPr lang="en-US" sz="800">
              <a:latin typeface="+mn-lt"/>
              <a:ea typeface="+mn-lt"/>
              <a:cs typeface="+mn-lt"/>
            </a:rPr>
            <a:t>Generated</a:t>
          </a:r>
          <a:r>
            <a:rPr lang="ko-KR" altLang="en-US" sz="800">
              <a:latin typeface="+mn-lt"/>
              <a:ea typeface="+mn-lt"/>
              <a:cs typeface="+mn-lt"/>
            </a:rPr>
            <a:t>의 핵심 결론이 반대인 경우 </a:t>
          </a:r>
          <a:r>
            <a:rPr lang="en-US" altLang="ko-KR" sz="800">
              <a:latin typeface="+mn-lt"/>
              <a:ea typeface="+mn-lt"/>
              <a:cs typeface="+mn-lt"/>
            </a:rPr>
            <a:t>(</a:t>
          </a:r>
          <a:r>
            <a:rPr lang="ko-KR" altLang="en-US" sz="800">
              <a:latin typeface="+mn-lt"/>
              <a:ea typeface="+mn-lt"/>
              <a:cs typeface="+mn-lt"/>
            </a:rPr>
            <a:t>가능↔불가능</a:t>
          </a:r>
          <a:r>
            <a:rPr lang="en-US" altLang="ko-KR" sz="800">
              <a:latin typeface="+mn-lt"/>
              <a:ea typeface="+mn-lt"/>
              <a:cs typeface="+mn-lt"/>
            </a:rPr>
            <a:t>, </a:t>
          </a:r>
          <a:r>
            <a:rPr lang="ko-KR" altLang="en-US" sz="800">
              <a:latin typeface="+mn-lt"/>
              <a:ea typeface="+mn-lt"/>
              <a:cs typeface="+mn-lt"/>
            </a:rPr>
            <a:t>있음↔없음</a:t>
          </a:r>
          <a:r>
            <a:rPr lang="en-US" altLang="ko-KR" sz="800">
              <a:latin typeface="+mn-lt"/>
              <a:ea typeface="+mn-lt"/>
              <a:cs typeface="+mn-lt"/>
            </a:rPr>
            <a:t>, </a:t>
          </a:r>
          <a:r>
            <a:rPr lang="ko-KR" altLang="en-US" sz="800">
              <a:latin typeface="+mn-lt"/>
              <a:ea typeface="+mn-lt"/>
              <a:cs typeface="+mn-lt"/>
            </a:rPr>
            <a:t>해당↔미해당</a:t>
          </a:r>
          <a:r>
            <a:rPr lang="en-US" altLang="ko-KR" sz="800">
              <a:latin typeface="+mn-lt"/>
              <a:ea typeface="+mn-lt"/>
              <a:cs typeface="+mn-lt"/>
            </a:rPr>
            <a:t>)</a:t>
          </a:r>
        </a:p>
        <a:p>
          <a:pPr marL="0" indent="0" algn="l"/>
          <a:r>
            <a:rPr lang="en-US" altLang="ko-KR" sz="800">
              <a:latin typeface="+mn-lt"/>
              <a:ea typeface="+mn-lt"/>
              <a:cs typeface="+mn-lt"/>
            </a:rPr>
            <a:t>- </a:t>
          </a:r>
          <a:r>
            <a:rPr lang="ko-KR" altLang="en-US" sz="800">
              <a:latin typeface="+mn-lt"/>
              <a:ea typeface="+mn-lt"/>
              <a:cs typeface="+mn-lt"/>
            </a:rPr>
            <a:t>핵심 요소가 누락된 경우</a:t>
          </a:r>
        </a:p>
        <a:p>
          <a:pPr marL="0" indent="0" algn="l"/>
          <a:r>
            <a:rPr lang="en-US" altLang="ko-KR" sz="800">
              <a:latin typeface="+mn-lt"/>
              <a:ea typeface="+mn-lt"/>
              <a:cs typeface="+mn-lt"/>
            </a:rPr>
            <a:t>- </a:t>
          </a:r>
          <a:r>
            <a:rPr lang="ko-KR" altLang="en-US" sz="800">
              <a:latin typeface="+mn-lt"/>
              <a:ea typeface="+mn-lt"/>
              <a:cs typeface="+mn-lt"/>
            </a:rPr>
            <a:t>핵심 요소가 변경</a:t>
          </a:r>
          <a:r>
            <a:rPr lang="en-US" altLang="ko-KR" sz="800">
              <a:latin typeface="+mn-lt"/>
              <a:ea typeface="+mn-lt"/>
              <a:cs typeface="+mn-lt"/>
            </a:rPr>
            <a:t>/</a:t>
          </a:r>
          <a:r>
            <a:rPr lang="ko-KR" altLang="en-US" sz="800">
              <a:latin typeface="+mn-lt"/>
              <a:ea typeface="+mn-lt"/>
              <a:cs typeface="+mn-lt"/>
            </a:rPr>
            <a:t>왜곡된 경우</a:t>
          </a:r>
          <a:r>
            <a:rPr lang="en-US" altLang="ko-KR" sz="800">
              <a:latin typeface="+mn-lt"/>
              <a:ea typeface="+mn-lt"/>
              <a:cs typeface="+mn-lt"/>
            </a:rPr>
            <a:t>:</a:t>
          </a:r>
        </a:p>
        <a:p>
          <a:pPr marL="0" indent="0" algn="l"/>
          <a:r>
            <a:rPr lang="en-US" altLang="ko-KR" sz="800">
              <a:latin typeface="+mn-lt"/>
              <a:ea typeface="+mn-lt"/>
              <a:cs typeface="+mn-lt"/>
            </a:rPr>
            <a:t>- </a:t>
          </a:r>
          <a:r>
            <a:rPr lang="en-US" sz="800">
              <a:latin typeface="+mn-lt"/>
              <a:ea typeface="+mn-lt"/>
              <a:cs typeface="+mn-lt"/>
            </a:rPr>
            <a:t>Keywords</a:t>
          </a:r>
          <a:r>
            <a:rPr lang="ko-KR" altLang="en-US" sz="800">
              <a:latin typeface="+mn-lt"/>
              <a:ea typeface="+mn-lt"/>
              <a:cs typeface="+mn-lt"/>
            </a:rPr>
            <a:t>에 포함된 키워드가 </a:t>
          </a:r>
          <a:r>
            <a:rPr lang="en-US" sz="800">
              <a:latin typeface="+mn-lt"/>
              <a:ea typeface="+mn-lt"/>
              <a:cs typeface="+mn-lt"/>
            </a:rPr>
            <a:t>Generated</a:t>
          </a:r>
          <a:r>
            <a:rPr lang="ko-KR" altLang="en-US" sz="800">
              <a:latin typeface="+mn-lt"/>
              <a:ea typeface="+mn-lt"/>
              <a:cs typeface="+mn-lt"/>
            </a:rPr>
            <a:t>에서 누락되거나 의미가 달라지도록 변경된 경우</a:t>
          </a:r>
        </a:p>
        <a:p>
          <a:pPr marL="0" indent="0" algn="l"/>
          <a:r>
            <a:rPr lang="en-US" altLang="ko-KR" sz="800">
              <a:latin typeface="+mn-lt"/>
              <a:ea typeface="+mn-lt"/>
              <a:cs typeface="+mn-lt"/>
            </a:rPr>
            <a:t>- </a:t>
          </a:r>
          <a:r>
            <a:rPr lang="en-US" sz="800">
              <a:latin typeface="+mn-lt"/>
              <a:ea typeface="+mn-lt"/>
              <a:cs typeface="+mn-lt"/>
            </a:rPr>
            <a:t>Conversation_history(STT)</a:t>
          </a:r>
          <a:r>
            <a:rPr lang="ko-KR" altLang="en-US" sz="800">
              <a:latin typeface="+mn-lt"/>
              <a:ea typeface="+mn-lt"/>
              <a:cs typeface="+mn-lt"/>
            </a:rPr>
            <a:t>에도 </a:t>
          </a:r>
          <a:r>
            <a:rPr lang="en-US" sz="800">
              <a:latin typeface="+mn-lt"/>
              <a:ea typeface="+mn-lt"/>
              <a:cs typeface="+mn-lt"/>
            </a:rPr>
            <a:t>Reference</a:t>
          </a:r>
          <a:r>
            <a:rPr lang="ko-KR" altLang="en-US" sz="800">
              <a:latin typeface="+mn-lt"/>
              <a:ea typeface="+mn-lt"/>
              <a:cs typeface="+mn-lt"/>
            </a:rPr>
            <a:t>에도 없는 내용을 사실처럼 생성한 경우 </a:t>
          </a:r>
          <a:r>
            <a:rPr lang="en-US" altLang="ko-KR" sz="800">
              <a:latin typeface="+mn-lt"/>
              <a:ea typeface="+mn-lt"/>
              <a:cs typeface="+mn-lt"/>
            </a:rPr>
            <a:t>(</a:t>
          </a:r>
          <a:r>
            <a:rPr lang="ko-KR" altLang="en-US" sz="800">
              <a:latin typeface="+mn-lt"/>
              <a:ea typeface="+mn-lt"/>
              <a:cs typeface="+mn-lt"/>
            </a:rPr>
            <a:t>환각</a:t>
          </a:r>
          <a:r>
            <a:rPr lang="en-US" altLang="ko-KR" sz="800">
              <a:latin typeface="+mn-lt"/>
              <a:ea typeface="+mn-lt"/>
              <a:cs typeface="+mn-lt"/>
            </a:rPr>
            <a:t>)</a:t>
          </a:r>
        </a:p>
        <a:p>
          <a:pPr marL="0" indent="0" algn="l"/>
          <a:r>
            <a:rPr lang="en-US" altLang="ko-KR" sz="800">
              <a:latin typeface="+mn-lt"/>
              <a:ea typeface="+mn-lt"/>
              <a:cs typeface="+mn-lt"/>
            </a:rPr>
            <a:t>- </a:t>
          </a:r>
          <a:r>
            <a:rPr lang="en-US" sz="800">
              <a:latin typeface="+mn-lt"/>
              <a:ea typeface="+mn-lt"/>
              <a:cs typeface="+mn-lt"/>
            </a:rPr>
            <a:t>Conversation_history(STT)</a:t>
          </a:r>
          <a:r>
            <a:rPr lang="ko-KR" altLang="en-US" sz="800">
              <a:latin typeface="+mn-lt"/>
              <a:ea typeface="+mn-lt"/>
              <a:cs typeface="+mn-lt"/>
            </a:rPr>
            <a:t>의 오전사된 내용을 복원하지 않고 그대로 요약에 반영한 경우</a:t>
          </a:r>
        </a:p>
        <a:p>
          <a:pPr marL="0" indent="0" algn="l"/>
          <a:r>
            <a:rPr lang="en-US" altLang="ko-KR" sz="800">
              <a:latin typeface="+mn-lt"/>
              <a:ea typeface="+mn-lt"/>
              <a:cs typeface="+mn-lt"/>
            </a:rPr>
            <a:t>- </a:t>
          </a:r>
          <a:r>
            <a:rPr lang="en-US" sz="800">
              <a:latin typeface="+mn-lt"/>
              <a:ea typeface="+mn-lt"/>
              <a:cs typeface="+mn-lt"/>
            </a:rPr>
            <a:t>Conversation_history(STT)</a:t>
          </a:r>
          <a:r>
            <a:rPr lang="ko-KR" altLang="en-US" sz="800">
              <a:latin typeface="+mn-lt"/>
              <a:ea typeface="+mn-lt"/>
              <a:cs typeface="+mn-lt"/>
            </a:rPr>
            <a:t>의 내용을 인용했으나 맥락이나 의미를 잘못 해석한 경우</a:t>
          </a:r>
        </a:p>
        <a:p>
          <a:pPr marL="0" indent="0" algn="l"/>
          <a:r>
            <a:rPr lang="en-US" altLang="ko-KR" sz="800">
              <a:latin typeface="+mn-lt"/>
              <a:ea typeface="+mn-lt"/>
              <a:cs typeface="+mn-lt"/>
            </a:rPr>
            <a:t>- </a:t>
          </a:r>
          <a:r>
            <a:rPr lang="ko-KR" altLang="en-US" sz="800">
              <a:latin typeface="+mn-lt"/>
              <a:ea typeface="+mn-lt"/>
              <a:cs typeface="+mn-lt"/>
            </a:rPr>
            <a:t>해당 요약 유형의 발화자 범위를 벗어난 내용이 포함된 경우 </a:t>
          </a:r>
          <a:r>
            <a:rPr lang="en-US" altLang="ko-KR" sz="800">
              <a:latin typeface="+mn-lt"/>
              <a:ea typeface="+mn-lt"/>
              <a:cs typeface="+mn-lt"/>
            </a:rPr>
            <a:t>(</a:t>
          </a:r>
          <a:r>
            <a:rPr lang="ko-KR" altLang="en-US" sz="800">
              <a:latin typeface="+mn-lt"/>
              <a:ea typeface="+mn-lt"/>
              <a:cs typeface="+mn-lt"/>
            </a:rPr>
            <a:t>예</a:t>
          </a:r>
          <a:r>
            <a:rPr lang="en-US" altLang="ko-KR" sz="800">
              <a:latin typeface="+mn-lt"/>
              <a:ea typeface="+mn-lt"/>
              <a:cs typeface="+mn-lt"/>
            </a:rPr>
            <a:t>: </a:t>
          </a:r>
          <a:r>
            <a:rPr lang="ko-KR" altLang="en-US" sz="800">
              <a:latin typeface="+mn-lt"/>
              <a:ea typeface="+mn-lt"/>
              <a:cs typeface="+mn-lt"/>
            </a:rPr>
            <a:t>고객발화요약에 상담사의 안내</a:t>
          </a:r>
          <a:r>
            <a:rPr lang="en-US" altLang="ko-KR" sz="800">
              <a:latin typeface="+mn-lt"/>
              <a:ea typeface="+mn-lt"/>
              <a:cs typeface="+mn-lt"/>
            </a:rPr>
            <a:t>/</a:t>
          </a:r>
          <a:r>
            <a:rPr lang="ko-KR" altLang="en-US" sz="800">
              <a:latin typeface="+mn-lt"/>
              <a:ea typeface="+mn-lt"/>
              <a:cs typeface="+mn-lt"/>
            </a:rPr>
            <a:t>처리 내용 포함</a:t>
          </a:r>
          <a:r>
            <a:rPr lang="en-US" altLang="ko-KR" sz="800">
              <a:latin typeface="+mn-lt"/>
              <a:ea typeface="+mn-lt"/>
              <a:cs typeface="+mn-lt"/>
            </a:rPr>
            <a:t>)</a:t>
          </a:r>
        </a:p>
        <a:p>
          <a:pPr marL="0" indent="0" algn="l"/>
          <a:r>
            <a:rPr lang="en-US" altLang="ko-KR" sz="800">
              <a:latin typeface="+mn-lt"/>
              <a:ea typeface="+mn-lt"/>
              <a:cs typeface="+mn-lt"/>
            </a:rPr>
            <a:t>- </a:t>
          </a:r>
          <a:r>
            <a:rPr lang="ko-KR" altLang="en-US" sz="800">
              <a:latin typeface="+mn-lt"/>
              <a:ea typeface="+mn-lt"/>
              <a:cs typeface="+mn-lt"/>
            </a:rPr>
            <a:t>비핵심 요소가 사실과 다르게 변경되어 핵심 결론과 모순이 발생하거나 오해를 유발하는 경우</a:t>
          </a:r>
        </a:p>
        <a:p>
          <a:pPr marL="0" indent="0" algn="l"/>
          <a:r>
            <a:rPr lang="en-US" altLang="ko-KR" sz="800">
              <a:latin typeface="+mn-lt"/>
              <a:ea typeface="+mn-lt"/>
              <a:cs typeface="+mn-lt"/>
            </a:rPr>
            <a:t>- </a:t>
          </a:r>
          <a:r>
            <a:rPr lang="ko-KR" altLang="en-US" sz="800">
              <a:latin typeface="+mn-lt"/>
              <a:ea typeface="+mn-lt"/>
              <a:cs typeface="+mn-lt"/>
            </a:rPr>
            <a:t>한자</a:t>
          </a:r>
          <a:r>
            <a:rPr lang="en-US" altLang="ko-KR" sz="800">
              <a:latin typeface="+mn-lt"/>
              <a:ea typeface="+mn-lt"/>
              <a:cs typeface="+mn-lt"/>
            </a:rPr>
            <a:t>, </a:t>
          </a:r>
          <a:r>
            <a:rPr lang="ko-KR" altLang="en-US" sz="800">
              <a:latin typeface="+mn-lt"/>
              <a:ea typeface="+mn-lt"/>
              <a:cs typeface="+mn-lt"/>
            </a:rPr>
            <a:t>깨진 문자</a:t>
          </a:r>
          <a:r>
            <a:rPr lang="en-US" altLang="ko-KR" sz="800">
              <a:latin typeface="+mn-lt"/>
              <a:ea typeface="+mn-lt"/>
              <a:cs typeface="+mn-lt"/>
            </a:rPr>
            <a:t>, </a:t>
          </a:r>
          <a:r>
            <a:rPr lang="ko-KR" altLang="en-US" sz="800">
              <a:latin typeface="+mn-lt"/>
              <a:ea typeface="+mn-lt"/>
              <a:cs typeface="+mn-lt"/>
            </a:rPr>
            <a:t>의미 없는 특수문자 등 비정상 문자가 포함된 경우</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676275</xdr:colOff>
      <xdr:row>0</xdr:row>
      <xdr:rowOff>180975</xdr:rowOff>
    </xdr:from>
    <xdr:to>
      <xdr:col>7</xdr:col>
      <xdr:colOff>447675</xdr:colOff>
      <xdr:row>13</xdr:row>
      <xdr:rowOff>200025</xdr:rowOff>
    </xdr:to>
    <xdr:graphicFrame macro="">
      <xdr:nvGraphicFramePr>
        <xdr:cNvPr id="2" name="차트 1">
          <a:extLst>
            <a:ext uri="{FF2B5EF4-FFF2-40B4-BE49-F238E27FC236}">
              <a16:creationId xmlns:a16="http://schemas.microsoft.com/office/drawing/2014/main" id="{6D5BADF6-5E68-7119-5FE7-5E918F41C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676275</xdr:colOff>
      <xdr:row>0</xdr:row>
      <xdr:rowOff>200025</xdr:rowOff>
    </xdr:from>
    <xdr:to>
      <xdr:col>14</xdr:col>
      <xdr:colOff>447675</xdr:colOff>
      <xdr:row>14</xdr:row>
      <xdr:rowOff>9525</xdr:rowOff>
    </xdr:to>
    <xdr:graphicFrame macro="">
      <xdr:nvGraphicFramePr>
        <xdr:cNvPr id="3" name="차트 2">
          <a:extLst>
            <a:ext uri="{FF2B5EF4-FFF2-40B4-BE49-F238E27FC236}">
              <a16:creationId xmlns:a16="http://schemas.microsoft.com/office/drawing/2014/main" id="{A85E73A7-B207-4E10-BC5E-3ECDDB9EDBB0}"/>
            </a:ext>
            <a:ext uri="{147F2762-F138-4A5C-976F-8EAC2B608ADB}">
              <a16:predDERef xmlns:a16="http://schemas.microsoft.com/office/drawing/2014/main" pred="{6D5BADF6-5E68-7119-5FE7-5E918F41C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im, Dogyun (SAM Project)" id="{A3B2A19F-0CFC-40F1-87BC-3A40DA741E0C}" userId="S::dogyun.kim@aia.com::d8122bfc-53f1-4adc-a150-436e3f52ab10" providerId="AD"/>
  <person displayName="Lee, Heejung (SAM Project)" id="{34751D18-A194-4157-BE44-C2D3722F7373}" userId="S::heejung.lee@aia.com::983afec1-6c5e-4f03-b800-9740e5e2232a" providerId="AD"/>
  <person displayName="Choi, Kijung (SAM Project)" id="{44706C5A-2E6C-4DCC-B579-86161C0103DF}" userId="S::kijung.choi@aia.com::6fbffbfe-0f56-493c-95fa-cfd9cbf4e60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6-01-15T06:01:00.18" personId="{44706C5A-2E6C-4DCC-B579-86161C0103DF}" id="{7352F6D9-3361-4371-AD9C-D3E35325C403}">
    <text>순서도</text>
  </threadedComment>
  <threadedComment ref="D28" dT="2026-01-15T04:35:52.23" personId="{34751D18-A194-4157-BE44-C2D3722F7373}" id="{729598DF-B121-4AA5-BBDF-1740E2EFE989}">
    <text>Biz팀에 받은 데이터는 3차까지 총 702건이며, TEST를 진행했던 건은 STT전사 고도화된 50건으로 진행했었음.</text>
  </threadedComment>
  <threadedComment ref="D30" dT="2026-01-15T04:35:52.23" personId="{34751D18-A194-4157-BE44-C2D3722F7373}" id="{CEF5A7C3-1EFE-48EC-B2B8-152AFD53EB00}">
    <text>Biz팀에 받은 데이터는 3차까지 총 702건이며, TEST를 진행했던 건은 STT전사 고도화된 50건으로 진행했었음.</text>
  </threadedComment>
  <threadedComment ref="D32" dT="2026-01-15T04:35:52.23" personId="{34751D18-A194-4157-BE44-C2D3722F7373}" id="{D1F85753-E518-4F35-8295-CA0E7C877C52}">
    <text>Biz팀에 받은 데이터는 3차까지 총 702건이며, TEST를 진행했던 건은 STT전사 고도화된 50건으로 진행했었음.</text>
  </threadedComment>
  <threadedComment ref="D34" dT="2026-01-15T04:35:52.23" personId="{34751D18-A194-4157-BE44-C2D3722F7373}" id="{9A8D0CA6-A6EB-45C6-977F-27FD98DA33F6}">
    <text>Biz팀에 받은 데이터는 3차까지 총 702건이며, TEST를 진행했던 건은 STT전사 고도화된 50건으로 진행했었음.</text>
  </threadedComment>
  <threadedComment ref="D42" dT="2026-01-15T04:35:52.23" personId="{34751D18-A194-4157-BE44-C2D3722F7373}" id="{9852F93D-6BF9-4D73-8D7B-B06637DB4DD1}">
    <text>Biz팀에 받은 데이터는 3차까지 총 702건이며, TEST를 진행했던 건은 STT전사 고도화된 50건으로 진행했었음.</text>
  </threadedComment>
  <threadedComment ref="D43" dT="2026-01-15T04:35:52.23" personId="{34751D18-A194-4157-BE44-C2D3722F7373}" id="{8215309B-6DE0-4E48-B9D2-3BEECB2570A5}">
    <text>Biz팀에 받은 데이터는 3차까지 총 702건이며, TEST를 진행했던 건은 STT전사 고도화된 50건으로 진행했었음.</text>
  </threadedComment>
  <threadedComment ref="D44" dT="2026-01-15T04:35:52.23" personId="{34751D18-A194-4157-BE44-C2D3722F7373}" id="{BE13E560-7F20-465B-B384-0178CCF8E175}">
    <text>Biz팀에 받은 데이터는 3차까지 총 702건이며, TEST를 진행했던 건은 STT전사 고도화된 50건으로 진행했었음.</text>
  </threadedComment>
  <threadedComment ref="D45" dT="2026-01-15T04:35:52.23" personId="{34751D18-A194-4157-BE44-C2D3722F7373}" id="{719A2269-5992-4B2E-A4DE-0CC0B20B4F56}">
    <text>Biz팀에 받은 데이터는 3차까지 총 702건이며, TEST를 진행했던 건은 STT전사 고도화된 50건으로 진행했었음.</text>
  </threadedComment>
</ThreadedComments>
</file>

<file path=xl/threadedComments/threadedComment2.xml><?xml version="1.0" encoding="utf-8"?>
<ThreadedComments xmlns="http://schemas.microsoft.com/office/spreadsheetml/2018/threadedcomments" xmlns:x="http://schemas.openxmlformats.org/spreadsheetml/2006/main">
  <threadedComment ref="D27" dT="2026-01-15T04:35:52.23" personId="{34751D18-A194-4157-BE44-C2D3722F7373}" id="{73845F6D-42BD-4BC1-905E-7AF3BA8B0E9D}">
    <text>Biz팀에 받은 데이터는 3차까지 총 702건이며, TEST를 진행했던 건은 STT전사 고도화된 50건으로 진행했었음.</text>
  </threadedComment>
  <threadedComment ref="D35" dT="2026-01-15T04:35:52.23" personId="{34751D18-A194-4157-BE44-C2D3722F7373}" id="{8C8C7410-6454-4F3A-85E5-38E3E06359F9}">
    <text>Biz팀에 받은 데이터는 3차까지 총 702건이며, TEST를 진행했던 건은 STT전사 고도화된 50건으로 진행했었음.</text>
  </threadedComment>
  <threadedComment ref="D36" dT="2026-01-15T04:35:52.23" personId="{34751D18-A194-4157-BE44-C2D3722F7373}" id="{9C1C2A1D-82D6-4B2D-B278-81F6989BD70E}">
    <text>Biz팀에 받은 데이터는 3차까지 총 702건이며, TEST를 진행했던 건은 STT전사 고도화된 50건으로 진행했었음.</text>
  </threadedComment>
  <threadedComment ref="D37" dT="2026-01-15T04:35:52.23" personId="{34751D18-A194-4157-BE44-C2D3722F7373}" id="{99814B8E-7B80-487C-A404-91D3FB86BD29}">
    <text>Biz팀에 받은 데이터는 3차까지 총 702건이며, TEST를 진행했던 건은 STT전사 고도화된 50건으로 진행했었음.</text>
  </threadedComment>
  <threadedComment ref="D38" dT="2026-01-15T04:35:52.23" personId="{34751D18-A194-4157-BE44-C2D3722F7373}" id="{225457E2-B4BF-4D72-A232-DD39ECDDAE74}">
    <text>Biz팀에 받은 데이터는 3차까지 총 702건이며, TEST를 진행했던 건은 STT전사 고도화된 50건으로 진행했었음.</text>
  </threadedComment>
</ThreadedComments>
</file>

<file path=xl/threadedComments/threadedComment3.xml><?xml version="1.0" encoding="utf-8"?>
<ThreadedComments xmlns="http://schemas.microsoft.com/office/spreadsheetml/2018/threadedcomments" xmlns:x="http://schemas.openxmlformats.org/spreadsheetml/2006/main">
  <threadedComment ref="H4" dT="2026-01-30T01:20:25.81" personId="{44706C5A-2E6C-4DCC-B579-86161C0103DF}" id="{E0F6A487-F23D-464C-97EA-FC6B2DC48012}">
    <text>업무매뉴얼</text>
  </threadedComment>
  <threadedComment ref="H5" dT="2026-01-30T01:20:38.81" personId="{44706C5A-2E6C-4DCC-B579-86161C0103DF}" id="{12CC75EA-6495-410E-8838-F481A29380B7}">
    <text>업무매뉴얼</text>
  </threadedComment>
  <threadedComment ref="H6" dT="2026-01-30T01:20:52.08" personId="{44706C5A-2E6C-4DCC-B579-86161C0103DF}" id="{E49BB8FC-C85B-459E-8675-ECD60CD21341}">
    <text>업무매뉴얼</text>
  </threadedComment>
  <threadedComment ref="I44" dT="2026-01-30T01:52:52.03" personId="{44706C5A-2E6C-4DCC-B579-86161C0103DF}" id="{EDEF5945-77EA-4C04-AE14-517E691FE33A}">
    <text>답변셋 일반분류가 대부분</text>
  </threadedComment>
  <threadedComment ref="I44" dT="2026-01-30T04:43:58.02" personId="{A3B2A19F-0CFC-40F1-87BC-3A40DA741E0C}" id="{8FB7DE77-4832-4C0F-A885-4CC1928802A3}" parentId="{EDEF5945-77EA-4C04-AE14-517E691FE33A}">
    <text>LLM이 유형 이름을 예측(생성)하고 GT 유형과 exact matching 하여 accuracy 계산</text>
  </threadedComment>
  <threadedComment ref="J44" dT="2026-02-05T00:24:30.76" personId="{A3B2A19F-0CFC-40F1-87BC-3A40DA741E0C}" id="{492D1566-C36B-49C7-AF89-CC814518F9DC}">
    <text>민원/개선 데이터 추가된 이후 개선작업 진행 할 예정</text>
  </threadedComment>
  <threadedComment ref="I45" dT="2026-01-30T04:43:44.98" personId="{A3B2A19F-0CFC-40F1-87BC-3A40DA741E0C}" id="{7747E0D7-9793-4AF8-88C8-DFB514C1E77E}">
    <text>LLM이 유형 이름을 예측(생성)하고 GT 유형과 exact matching 하여 accuracy 계산</text>
  </threadedComment>
  <threadedComment ref="J45" dT="2026-01-30T04:43:44.98" personId="{A3B2A19F-0CFC-40F1-87BC-3A40DA741E0C}" id="{C14EA8CD-E682-470C-AB38-4E8066D5CA0D}">
    <text>LLM이 유형 이름을 예측(생성)하고 GT 유형과 exact matching 하여 accuracy 계산</text>
  </threadedComment>
  <threadedComment ref="I52" dT="2026-01-30T03:43:09.54" personId="{A3B2A19F-0CFC-40F1-87BC-3A40DA741E0C}" id="{2B735DDC-5A3F-4D1C-8197-FB1680E3F96F}">
    <text>민원 데이터 1건 밖에 없음</text>
  </threadedComment>
  <threadedComment ref="J52" dT="2026-02-05T08:04:54.60" personId="{A3B2A19F-0CFC-40F1-87BC-3A40DA741E0C}" id="{54D043BC-4486-43CD-9D24-382C748B09B0}">
    <text>judge 프롬프트 변경으로 다시 테스트</text>
  </threadedComment>
  <threadedComment ref="J56" dT="2026-02-05T00:24:44.91" personId="{A3B2A19F-0CFC-40F1-87BC-3A40DA741E0C}" id="{9543F6AD-54B2-460A-B0B3-B32244242A0F}">
    <text>민원/개선 데이터 추가된 이후 개선작업 진행 할 예정</text>
  </threadedComment>
  <threadedComment ref="I57" dT="2026-01-30T04:43:33.23" personId="{A3B2A19F-0CFC-40F1-87BC-3A40DA741E0C}" id="{4726D5BB-42E5-4A5B-AA10-735AC395C171}">
    <text>LLM이 유형 이름을 예측(생성)하고 GT 유형과 exact matching 하여 accuracy 계산</text>
  </threadedComment>
  <threadedComment ref="J57" dT="2026-01-30T04:43:44.98" personId="{A3B2A19F-0CFC-40F1-87BC-3A40DA741E0C}" id="{63E036A5-FE41-4CC5-B837-8B3739368BF2}">
    <text>LLM이 유형 이름을 예측(생성)하고 GT 유형과 exact matching 하여 accuracy 계산</text>
  </threadedComment>
</ThreadedComments>
</file>

<file path=xl/threadedComments/threadedComment4.xml><?xml version="1.0" encoding="utf-8"?>
<ThreadedComments xmlns="http://schemas.microsoft.com/office/spreadsheetml/2018/threadedcomments" xmlns:x="http://schemas.openxmlformats.org/spreadsheetml/2006/main">
  <threadedComment ref="H4" dT="2026-01-30T01:20:25.81" personId="{44706C5A-2E6C-4DCC-B579-86161C0103DF}" id="{85A1AB74-11AC-4726-8E8D-6DD588F76863}">
    <text>업무매뉴얼</text>
  </threadedComment>
  <threadedComment ref="H5" dT="2026-01-30T01:20:38.81" personId="{44706C5A-2E6C-4DCC-B579-86161C0103DF}" id="{BDA32C5E-A474-456D-A6F8-3765C0E81F20}">
    <text>업무매뉴얼</text>
  </threadedComment>
  <threadedComment ref="H6" dT="2026-01-30T01:20:52.08" personId="{44706C5A-2E6C-4DCC-B579-86161C0103DF}" id="{05AC2E5B-70A1-4828-A911-39D7DCFBC6BC}">
    <text>업무매뉴얼</text>
  </threadedComment>
  <threadedComment ref="H47" dT="2026-01-30T01:52:52.03" personId="{44706C5A-2E6C-4DCC-B579-86161C0103DF}" id="{5B159C9F-0C1D-46A2-ABED-528E9AFBAC62}">
    <text>답변셋 일반분류가 대부분</text>
  </threadedComment>
  <threadedComment ref="H47" dT="2026-01-30T04:43:58.02" personId="{A3B2A19F-0CFC-40F1-87BC-3A40DA741E0C}" id="{71E3DA5A-6CC4-4D55-BAF7-CED1F6DF0144}" parentId="{5B159C9F-0C1D-46A2-ABED-528E9AFBAC62}">
    <text>LLM이 유형 이름을 예측(생성)하고 GT 유형과 exact matching 하여 accuracy 계산</text>
  </threadedComment>
  <threadedComment ref="H48" dT="2026-01-30T04:43:44.98" personId="{A3B2A19F-0CFC-40F1-87BC-3A40DA741E0C}" id="{3D92D090-727A-49BD-A1DF-A37FFE4C17F1}">
    <text>LLM이 유형 이름을 예측(생성)하고 GT 유형과 exact matching 하여 accuracy 계산</text>
  </threadedComment>
  <threadedComment ref="H55" dT="2026-01-30T03:43:09.54" personId="{A3B2A19F-0CFC-40F1-87BC-3A40DA741E0C}" id="{68218E40-01B1-4A24-922C-F3F7D7F8C673}">
    <text>민원 데이터 1건 밖에 없음</text>
  </threadedComment>
  <threadedComment ref="H60" dT="2026-01-30T04:43:33.23" personId="{A3B2A19F-0CFC-40F1-87BC-3A40DA741E0C}" id="{55A301BF-895D-4C1E-A61A-3F35F20B5EDE}">
    <text>LLM이 유형 이름을 예측(생성)하고 GT 유형과 exact matching 하여 accuracy 계산</text>
  </threadedComment>
</ThreadedComments>
</file>

<file path=xl/threadedComments/threadedComment5.xml><?xml version="1.0" encoding="utf-8"?>
<ThreadedComments xmlns="http://schemas.microsoft.com/office/spreadsheetml/2018/threadedcomments" xmlns:x="http://schemas.openxmlformats.org/spreadsheetml/2006/main">
  <threadedComment ref="B8" dT="2026-01-15T06:01:00.18" personId="{44706C5A-2E6C-4DCC-B579-86161C0103DF}" id="{9BFF1F5B-C8CD-4182-AA28-B7206346DBD6}">
    <text>순서도</text>
  </threadedComment>
</ThreadedComments>
</file>

<file path=xl/threadedComments/threadedComment6.xml><?xml version="1.0" encoding="utf-8"?>
<ThreadedComments xmlns="http://schemas.microsoft.com/office/spreadsheetml/2018/threadedcomments" xmlns:x="http://schemas.openxmlformats.org/spreadsheetml/2006/main">
  <threadedComment ref="B8" dT="2026-01-15T06:01:00.18" personId="{44706C5A-2E6C-4DCC-B579-86161C0103DF}" id="{4B247A54-FB8C-402F-8ECD-491B679B92B1}">
    <text>순서도</text>
  </threadedComment>
</ThreadedComments>
</file>

<file path=xl/threadedComments/threadedComment7.xml><?xml version="1.0" encoding="utf-8"?>
<ThreadedComments xmlns="http://schemas.microsoft.com/office/spreadsheetml/2018/threadedcomments" xmlns:x="http://schemas.openxmlformats.org/spreadsheetml/2006/main">
  <threadedComment ref="B8" dT="2026-01-15T06:01:00.18" personId="{44706C5A-2E6C-4DCC-B579-86161C0103DF}" id="{B8373152-4B00-45CA-A09B-ABA7C039249E}">
    <text>순서도</text>
  </threadedComment>
</ThreadedComments>
</file>

<file path=xl/threadedComments/threadedComment8.xml><?xml version="1.0" encoding="utf-8"?>
<ThreadedComments xmlns="http://schemas.microsoft.com/office/spreadsheetml/2018/threadedcomments" xmlns:x="http://schemas.openxmlformats.org/spreadsheetml/2006/main">
  <threadedComment ref="B8" dT="2026-01-15T06:01:00.18" personId="{44706C5A-2E6C-4DCC-B579-86161C0103DF}" id="{BA90F69C-2FB7-45B7-97D1-EB9F14CCFC33}">
    <text>순서도</text>
  </threadedComment>
</ThreadedComments>
</file>

<file path=xl/threadedComments/threadedComment9.xml><?xml version="1.0" encoding="utf-8"?>
<ThreadedComments xmlns="http://schemas.microsoft.com/office/spreadsheetml/2018/threadedcomments" xmlns:x="http://schemas.openxmlformats.org/spreadsheetml/2006/main">
  <threadedComment ref="B8" dT="2026-01-15T06:01:00.18" personId="{44706C5A-2E6C-4DCC-B579-86161C0103DF}" id="{06522975-35B3-465F-A3E5-024C077F3ADD}">
    <text>순서도</text>
  </threadedComment>
</ThreadedComments>
</file>

<file path=xl/threadedComments/threadedComment10.xml><?xml version="1.0" encoding="utf-8"?>
<ThreadedComments xmlns="http://schemas.microsoft.com/office/spreadsheetml/2018/threadedcomments" xmlns:x="http://schemas.openxmlformats.org/spreadsheetml/2006/main">
  <threadedComment ref="B8" dT="2026-01-15T06:01:00.18" personId="{44706C5A-2E6C-4DCC-B579-86161C0103DF}" id="{0EC3A395-A513-4DC4-90D2-A60563AF0F3E}">
    <text>순서도</text>
  </threadedComment>
</ThreadedComments>
</file>

<file path=xl/threadedComments/threadedComment11.xml><?xml version="1.0" encoding="utf-8"?>
<ThreadedComments xmlns="http://schemas.microsoft.com/office/spreadsheetml/2018/threadedcomments" xmlns:x="http://schemas.openxmlformats.org/spreadsheetml/2006/main">
  <threadedComment ref="B8" dT="2026-01-15T06:01:00.18" personId="{44706C5A-2E6C-4DCC-B579-86161C0103DF}" id="{7616D3CD-1AA4-46B6-98AE-90253C7C9EFE}">
    <text>순서도</text>
  </threadedComment>
</ThreadedComments>
</file>

<file path=xl/threadedComments/threadedComment12.xml><?xml version="1.0" encoding="utf-8"?>
<ThreadedComments xmlns="http://schemas.microsoft.com/office/spreadsheetml/2018/threadedcomments" xmlns:x="http://schemas.openxmlformats.org/spreadsheetml/2006/main">
  <threadedComment ref="B8" dT="2026-01-15T06:01:00.18" personId="{44706C5A-2E6C-4DCC-B579-86161C0103DF}" id="{9921BDC6-9A25-4B0A-9FD0-EA8DC50653C4}">
    <text>순서도</text>
  </threadedComment>
</ThreadedComments>
</file>

<file path=xl/threadedComments/threadedComment13.xml><?xml version="1.0" encoding="utf-8"?>
<ThreadedComments xmlns="http://schemas.microsoft.com/office/spreadsheetml/2018/threadedcomments" xmlns:x="http://schemas.openxmlformats.org/spreadsheetml/2006/main">
  <threadedComment ref="B4" dT="2026-01-15T06:01:00.18" personId="{44706C5A-2E6C-4DCC-B579-86161C0103DF}" id="{FC055CE0-ED30-4053-9935-AE7759F9D746}">
    <text>순서도</text>
  </threadedComment>
</ThreadedComments>
</file>

<file path=xl/threadedComments/threadedComment14.xml><?xml version="1.0" encoding="utf-8"?>
<ThreadedComments xmlns="http://schemas.microsoft.com/office/spreadsheetml/2018/threadedcomments" xmlns:x="http://schemas.openxmlformats.org/spreadsheetml/2006/main">
  <threadedComment ref="B4" dT="2026-01-15T06:01:00.18" personId="{44706C5A-2E6C-4DCC-B579-86161C0103DF}" id="{31B70E2E-2FFD-42E9-81B1-3A5DC9623C69}">
    <text>순서도</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13" Type="http://schemas.openxmlformats.org/officeDocument/2006/relationships/hyperlink" Target="../../../../../../../../:x:/r/sites/AICSRAssistantLiveChat/_layouts/15/Doc.aspx?sourcedoc=%7BA41FABD6-FF9B-4318-ABEB-F02B1F77D5C2%7D&amp;file=T26.%EC%83%81%ED%92%88%EB%A7%A4%EB%89%B4%EC%96%BC_wf.xlsx&amp;action=default&amp;mobileredirect=true&amp;wdOrigin=TEAMS-MAGLEV.p2p_ns.rwc&amp;wdExp=TEAMS-TREATMENT&amp;wdhostclicktime=1768528438768&amp;web=1" TargetMode="External"/><Relationship Id="rId18"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26" Type="http://schemas.openxmlformats.org/officeDocument/2006/relationships/comments" Target="../comments1.xml"/><Relationship Id="rId3"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83%81%ED%92%88%EB%A7%A4%EB%89%B4%EC%96%BC_0114ver.xlsx?d=wf896e7ecce0e40afab92ed3f952ae602&amp;csf=1&amp;web=1&amp;e=nc0dgH" TargetMode="External"/><Relationship Id="rId21" Type="http://schemas.openxmlformats.org/officeDocument/2006/relationships/hyperlink" Target="../../../../../../../../:x:/r/sites/AICSRAssistantLiveChat/Shared%20Documents/02%20%EC%88%98%ED%96%89%EC%82%AC/99.%20%EC%97%85%EB%AC%B4%EB%B3%84/05.GenAI/04.%ED%85%8C%EC%8A%A4%ED%8A%B8/%5BBack%20Data%5D/01.%EC%9A%94%EC%95%BD_TEST/T112_1113_%EC%9A%94%EC%95%BD_%EA%B0%9C%EC%84%A0.xlsx?d=wdf73cd22873a4efdbeba8b897e8554b2&amp;csf=1&amp;web=1&amp;e=oC4IKM" TargetMode="External"/><Relationship Id="rId7"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12" Type="http://schemas.openxmlformats.org/officeDocument/2006/relationships/hyperlink" Target="../../../../../../../../:x:/r/sites/AICSRAssistantLiveChat/_layouts/15/Doc.aspx?sourcedoc=%7B8DD2B982-57A2-4117-96DE-BA937299D049%7D&amp;file=T25.%EC%95%BD%EA%B4%80_wf.xlsx&amp;action=default&amp;mobileredirect=true&amp;wdOrigin=TEAMS-MAGLEV.p2p_ns.rwc&amp;wdExp=TEAMS-TREATMENT&amp;wdhostclicktime=1768528278864&amp;web=1" TargetMode="External"/><Relationship Id="rId17"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25" Type="http://schemas.openxmlformats.org/officeDocument/2006/relationships/vmlDrawing" Target="../drawings/vmlDrawing1.vml"/><Relationship Id="rId2"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83%81%EB%8B%B4%EC%8A%A4%ED%81%AC%EB%A6%BD%ED%8A%B8_0114ver.xlsx?d=w1c822388cdc540329dc682ebcda9cbbc&amp;csf=1&amp;web=1&amp;e=LqBIcl" TargetMode="External"/><Relationship Id="rId16"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20"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1" Type="http://schemas.openxmlformats.org/officeDocument/2006/relationships/hyperlink" Target="../../../../../../../../:x:/r/sites/AICSRAssistantLiveChat/Shared%20Documents/02%20%EC%88%98%ED%96%89%EC%82%AC/99.%20%EC%97%85%EB%AC%B4%EB%B3%84/05.GenAI/05.%EB%8D%B0%EC%9D%B4%ED%84%B0/05.2_%EB%8B%B5%EB%B3%80%EC%85%8B/05.2.2_%EC%A0%95%EC%A0%9C%ED%95%9C%EB%8B%B5%EB%B3%80%EC%85%8B/%EB%8B%B5%EB%B3%80%EC%85%8B_PC%EB%A7%A4%EB%89%B4%EC%96%BC_0114ver.xlsx?d=w201df8c02a8c4c628401bf265355a43f&amp;csf=1&amp;web=1&amp;e=PQ6TPg" TargetMode="External"/><Relationship Id="rId6"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97%85%EB%AC%B4%EB%A7%A4%EB%89%B4%EC%96%BC_0114ver.xlsx?d=w5f346f9c83c5463585b35d0dbcd4be1f&amp;csf=1&amp;web=1&amp;e=Vrv7BM" TargetMode="External"/><Relationship Id="rId11" Type="http://schemas.openxmlformats.org/officeDocument/2006/relationships/hyperlink" Target="../../../../../../../../:x:/r/sites/AICSRAssistantLiveChat/_layouts/15/Doc.aspx?sourcedoc=%7BA836F831-6A22-4F5A-BF6A-DEEEFD57C3E4%7D&amp;file=T29.%EC%97%85%EB%AC%B4%EB%A7%A4%EB%89%B4%EC%96%BC_wf.xlsx&amp;action=default&amp;mobileredirect=true" TargetMode="External"/><Relationship Id="rId24" Type="http://schemas.openxmlformats.org/officeDocument/2006/relationships/drawing" Target="../drawings/drawing1.xml"/><Relationship Id="rId5"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95%BD%EA%B4%80_0114ver.xlsx?d=w28f2fa4a03f44f319bc294a8686c8ac6&amp;csf=1&amp;web=1&amp;e=ygFebu" TargetMode="External"/><Relationship Id="rId15" Type="http://schemas.openxmlformats.org/officeDocument/2006/relationships/hyperlink" Target="../../../../../../../../:x:/r/sites/AICSRAssistantLiveChat/_layouts/15/Doc.aspx?sourcedoc=%7BE94054A6-D784-4A19-8837-4E607D003554%7D&amp;file=T28.%EC%82%AC%EC%97%85%EB%B0%A9%EB%B2%95%EC%84%9C_wf.xlsx&amp;action=default&amp;mobileredirect=true&amp;wdOrigin=TEAMS-MAGLEV.null_ns.rwc&amp;wdExp=TEAMS-TREATMENT&amp;wdhostclicktime=1768530397408&amp;web=1" TargetMode="External"/><Relationship Id="rId23" Type="http://schemas.openxmlformats.org/officeDocument/2006/relationships/hyperlink" Target="../../../../../../../../:x:/r/sites/AICSRAssistantLiveChat/_layouts/15/Doc.aspx?sourcedoc=%7B3C43AA72-EDFB-41DF-9952-2AA7BF9F9E30%7D&amp;file=T110.%EC%9A%94%EC%95%BD_%ED%9B%84%EC%B2%98%EB%A6%AC_%EC%83%81%EB%8B%B4%EC%A0%9C%EB%AA%A9.xlsx&amp;action=default&amp;mobileredirect=true" TargetMode="External"/><Relationship Id="rId10"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19"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4"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82%AC%EC%97%85%EB%B0%A9%EB%B2%95%EC%84%9C_0114ver.xlsx?d=w2ed10eff8c0243ed9460a330a3802d2d&amp;csf=1&amp;web=1&amp;e=brZfI9" TargetMode="External"/><Relationship Id="rId9"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14" Type="http://schemas.openxmlformats.org/officeDocument/2006/relationships/hyperlink" Target="../../../../../../../../:x:/r/sites/AICSRAssistantLiveChat/_layouts/15/Doc.aspx?sourcedoc=%7B5C0066A9-6486-4E21-ABD3-1214E60869B0%7D&amp;file=T23.%EC%83%81%EB%8B%B4%EC%8A%A4%ED%81%AC%EB%A6%BD%ED%8A%B8_wf.xlsx&amp;action=default&amp;mobileredirect=true" TargetMode="External"/><Relationship Id="rId22" Type="http://schemas.openxmlformats.org/officeDocument/2006/relationships/hyperlink" Target="../../../../../../../../:x:/r/sites/AICSRAssistantLiveChat/_layouts/15/Doc.aspx?sourcedoc=%7B6600D263-0DF4-42D4-AD79-B3E71553FC2A%7D&amp;file=T108.%EC%9A%94%EC%95%BD_%ED%9B%84%EC%B2%98%EB%A6%AC_%EB%B0%9C%ED%99%94%EC%9A%94%EC%95%BD.xlsx&amp;action=default&amp;mobileredirect=true" TargetMode="External"/><Relationship Id="rId27"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hyperlink" Target="../../../../../../../../:x:/r/sites/AICSRAssistantLiveChat/_layouts/15/Doc.aspx?sourcedoc=%7BA836F831-6A22-4F5A-BF6A-DEEEFD57C3E4%7D&amp;file=T29.%EC%97%85%EB%AC%B4%EB%A7%A4%EB%89%B4%EC%96%BC_wf.xlsx&amp;action=default&amp;mobileredirect=true" TargetMode="External"/><Relationship Id="rId13"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18" Type="http://schemas.openxmlformats.org/officeDocument/2006/relationships/hyperlink" Target="../../../../../../../../:x:/r/sites/AICSRAssistantLiveChat/Shared%20Documents/02%20%EC%88%98%ED%96%89%EC%82%AC/99.%20%EC%97%85%EB%AC%B4%EB%B3%84/05.GenAI/04.%ED%85%8C%EC%8A%A4%ED%8A%B8/%5BBack%20Data%5D/01.%EC%9A%94%EC%95%BD_TEST/T112_1113_%EC%9A%94%EC%95%BD_%EA%B0%9C%EC%84%A0.xlsx?d=wdf73cd22873a4efdbeba8b897e8554b2&amp;csf=1&amp;web=1&amp;e=oC4IKM" TargetMode="External"/><Relationship Id="rId26" Type="http://schemas.openxmlformats.org/officeDocument/2006/relationships/comments" Target="../comments2.xml"/><Relationship Id="rId3"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83%81%ED%92%88%EB%A7%A4%EB%89%B4%EC%96%BC_0114ver.xlsx?d=wf896e7ecce0e40afab92ed3f952ae602&amp;csf=1&amp;web=1&amp;e=nc0dgH" TargetMode="External"/><Relationship Id="rId21"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97%85%EB%AC%B4%EB%A7%A4%EB%89%B4%EC%96%BC_0114ver.xlsx?d=w5f346f9c83c5463585b35d0dbcd4be1f&amp;csf=1&amp;web=1&amp;e=Vrv7BM" TargetMode="External"/><Relationship Id="rId7"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12" Type="http://schemas.openxmlformats.org/officeDocument/2006/relationships/hyperlink" Target="../../../../../../../../:x:/r/sites/AICSRAssistantLiveChat/_layouts/15/Doc.aspx?sourcedoc=%7BE94054A6-D784-4A19-8837-4E607D003554%7D&amp;file=T28.%EC%82%AC%EC%97%85%EB%B0%A9%EB%B2%95%EC%84%9C_wf.xlsx&amp;action=default&amp;mobileredirect=true&amp;wdOrigin=TEAMS-MAGLEV.null_ns.rwc&amp;wdExp=TEAMS-TREATMENT&amp;wdhostclicktime=1768530397408&amp;web=1" TargetMode="External"/><Relationship Id="rId17"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25" Type="http://schemas.openxmlformats.org/officeDocument/2006/relationships/vmlDrawing" Target="../drawings/vmlDrawing2.vml"/><Relationship Id="rId2"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83%81%EB%8B%B4%EC%8A%A4%ED%81%AC%EB%A6%BD%ED%8A%B8_0114ver.xlsx?d=w1c822388cdc540329dc682ebcda9cbbc&amp;csf=1&amp;web=1&amp;e=LqBIcl" TargetMode="External"/><Relationship Id="rId16"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20" Type="http://schemas.openxmlformats.org/officeDocument/2006/relationships/hyperlink" Target="../../../../../../../../:x:/r/sites/AICSRAssistantLiveChat/_layouts/15/Doc.aspx?sourcedoc=%7B3C43AA72-EDFB-41DF-9952-2AA7BF9F9E30%7D&amp;file=T110.%EC%9A%94%EC%95%BD_%ED%9B%84%EC%B2%98%EB%A6%AC_%EC%83%81%EB%8B%B4%EC%A0%9C%EB%AA%A9.xlsx&amp;action=default&amp;mobileredirect=true" TargetMode="External"/><Relationship Id="rId1" Type="http://schemas.openxmlformats.org/officeDocument/2006/relationships/hyperlink" Target="../../../../../../../../:x:/r/sites/AICSRAssistantLiveChat/Shared%20Documents/02%20%EC%88%98%ED%96%89%EC%82%AC/99.%20%EC%97%85%EB%AC%B4%EB%B3%84/05.GenAI/05.%EB%8D%B0%EC%9D%B4%ED%84%B0/05.2_%EB%8B%B5%EB%B3%80%EC%85%8B/05.2.2_%EC%A0%95%EC%A0%9C%ED%95%9C%EB%8B%B5%EB%B3%80%EC%85%8B/%EB%8B%B5%EB%B3%80%EC%85%8B_PC%EB%A7%A4%EB%89%B4%EC%96%BC_0114ver.xlsx?d=w201df8c02a8c4c628401bf265355a43f&amp;csf=1&amp;web=1&amp;e=PQ6TPg" TargetMode="External"/><Relationship Id="rId6"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97%85%EB%AC%B4%EB%A7%A4%EB%89%B4%EC%96%BC_0114ver.xlsx?d=w5f346f9c83c5463585b35d0dbcd4be1f&amp;csf=1&amp;web=1&amp;e=Vrv7BM" TargetMode="External"/><Relationship Id="rId11" Type="http://schemas.openxmlformats.org/officeDocument/2006/relationships/hyperlink" Target="../../../../../../../../:x:/r/sites/AICSRAssistantLiveChat/_layouts/15/Doc.aspx?sourcedoc=%7B5C0066A9-6486-4E21-ABD3-1214E60869B0%7D&amp;file=T23.%EC%83%81%EB%8B%B4%EC%8A%A4%ED%81%AC%EB%A6%BD%ED%8A%B8_wf.xlsx&amp;action=default&amp;mobileredirect=true" TargetMode="External"/><Relationship Id="rId24" Type="http://schemas.openxmlformats.org/officeDocument/2006/relationships/hyperlink" Target="../../../../../../../../:x:/r/sites/AICSRAssistantLiveChat/_layouts/15/Doc.aspx?sourcedoc=%7BA836F831-6A22-4F5A-BF6A-DEEEFD57C3E4%7D&amp;file=T29.%EC%97%85%EB%AC%B4%EB%A7%A4%EB%89%B4%EC%96%BC_wf.xlsx&amp;action=default&amp;mobileredirect=true" TargetMode="External"/><Relationship Id="rId5"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95%BD%EA%B4%80_0114ver.xlsx?d=w28f2fa4a03f44f319bc294a8686c8ac6&amp;csf=1&amp;web=1&amp;e=ygFebu" TargetMode="External"/><Relationship Id="rId15"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23"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97%85%EB%AC%B4%EB%A7%A4%EB%89%B4%EC%96%BC_0114ver.xlsx?d=w5f346f9c83c5463585b35d0dbcd4be1f&amp;csf=1&amp;web=1&amp;e=Vrv7BM" TargetMode="External"/><Relationship Id="rId10" Type="http://schemas.openxmlformats.org/officeDocument/2006/relationships/hyperlink" Target="../../../../../../../../:x:/r/sites/AICSRAssistantLiveChat/_layouts/15/Doc.aspx?sourcedoc=%7BA41FABD6-FF9B-4318-ABEB-F02B1F77D5C2%7D&amp;file=T26.%EC%83%81%ED%92%88%EB%A7%A4%EB%89%B4%EC%96%BC_wf.xlsx&amp;action=default&amp;mobileredirect=true&amp;wdOrigin=TEAMS-MAGLEV.p2p_ns.rwc&amp;wdExp=TEAMS-TREATMENT&amp;wdhostclicktime=1768528438768&amp;web=1" TargetMode="External"/><Relationship Id="rId19" Type="http://schemas.openxmlformats.org/officeDocument/2006/relationships/hyperlink" Target="../../../../../../../../:x:/r/sites/AICSRAssistantLiveChat/_layouts/15/Doc.aspx?sourcedoc=%7B6600D263-0DF4-42D4-AD79-B3E71553FC2A%7D&amp;file=T108.%EC%9A%94%EC%95%BD_%ED%9B%84%EC%B2%98%EB%A6%AC_%EB%B0%9C%ED%99%94%EC%9A%94%EC%95%BD.xlsx&amp;action=default&amp;mobileredirect=true" TargetMode="External"/><Relationship Id="rId4" Type="http://schemas.openxmlformats.org/officeDocument/2006/relationships/hyperlink" Target="../../../../../../../../:x:/r/sites/AICSRAssistantLiveChat/Shared%20Documents/02%20%EC%88%98%ED%96%89%EC%82%AC/99.%20%EC%97%85%EB%AC%B4%EB%B3%84/05.GenAI/05.%EB%8D%B0%EC%9D%B4%ED%84%B0/05.2_%EB%8B%B5%EB%B3%80%EC%85%8B/05.2.2_%EC%A0%95%EC%A0%9C%ED%95%9C%EB%8B%B5%EB%B3%80%EC%85%8B/%EB%8B%B5%EB%B3%80%EC%85%8B_%EC%82%AC%EC%97%85%EB%B0%A9%EB%B2%95%EC%84%9C_0114ver.xlsx?d=w2ed10eff8c0243ed9460a330a3802d2d&amp;csf=1&amp;web=1&amp;e=brZfI9" TargetMode="External"/><Relationship Id="rId9" Type="http://schemas.openxmlformats.org/officeDocument/2006/relationships/hyperlink" Target="../../../../../../../../:x:/r/sites/AICSRAssistantLiveChat/_layouts/15/Doc.aspx?sourcedoc=%7B8DD2B982-57A2-4117-96DE-BA937299D049%7D&amp;file=T25.%EC%95%BD%EA%B4%80_wf.xlsx&amp;action=default&amp;mobileredirect=true&amp;wdOrigin=TEAMS-MAGLEV.p2p_ns.rwc&amp;wdExp=TEAMS-TREATMENT&amp;wdhostclicktime=1768528278864&amp;web=1" TargetMode="External"/><Relationship Id="rId14" Type="http://schemas.openxmlformats.org/officeDocument/2006/relationships/hyperlink" Target="../../../../../../../../:x:/r/sites/AICSRAssistantLiveChat/Shared%20Documents/02%20%EC%88%98%ED%96%89%EC%82%AC/99.%20%EC%97%85%EB%AC%B4%EB%B3%84/05.GenAI/05.%EB%8D%B0%EC%9D%B4%ED%84%B0/%EC%9A%94%EC%95%BDDataSet/STT_%EB%8D%B0%EC%9D%B4%ED%84%B0%EC%85%8B_1,2,3%EC%B0%A8_702%EA%B1%B4_0115.xlsx?d=wbc893ff3bc6d408bb6515a1505df2070&amp;csf=1&amp;web=1&amp;e=cPoaeH" TargetMode="External"/><Relationship Id="rId22" Type="http://schemas.openxmlformats.org/officeDocument/2006/relationships/hyperlink" Target="../../../../../../../../:x:/r/sites/AICSRAssistantLiveChat/_layouts/15/Doc.aspx?sourcedoc=%7BA836F831-6A22-4F5A-BF6A-DEEEFD57C3E4%7D&amp;file=T29.%EC%97%85%EB%AC%B4%EB%A7%A4%EB%89%B4%EC%96%BC_wf.xlsx&amp;action=default&amp;mobileredirect=true" TargetMode="External"/><Relationship Id="rId27"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http://10.232.200.22:8000/" TargetMode="External"/><Relationship Id="rId7" Type="http://schemas.openxmlformats.org/officeDocument/2006/relationships/vmlDrawing" Target="../drawings/vmlDrawing4.vml"/><Relationship Id="rId2" Type="http://schemas.openxmlformats.org/officeDocument/2006/relationships/hyperlink" Target="http://10.232.200.22:8000/" TargetMode="External"/><Relationship Id="rId1" Type="http://schemas.openxmlformats.org/officeDocument/2006/relationships/hyperlink" Target="../../../../../../../../:x:/r/sites/AICSRAssistantLiveChat/Shared%20Documents/02%20%EC%88%98%ED%96%89%EC%82%AC/99.%20%EC%97%85%EB%AC%B4%EB%B3%84/05.GenAI/04.%ED%85%8C%EC%8A%A4%ED%8A%B8/%ED%92%88%EC%A7%88%ED%8F%89%EA%B0%80_%EB%B0%8F_%EA%B0%9C%EC%84%A0/%EC%9A%94%EC%95%BD_%EC%98%A4%EB%8B%B5%EB%B6%84%EC%84%9D_%EA%B2%80%ED%86%A0(%ED%98%84%EC%97%85)_260213.xlsx?d=w035c65f35ab946078bf5cb20e4d9dd49&amp;csf=1&amp;web=1&amp;e=jszvvk" TargetMode="External"/><Relationship Id="rId6" Type="http://schemas.openxmlformats.org/officeDocument/2006/relationships/drawing" Target="../drawings/drawing3.xml"/><Relationship Id="rId5" Type="http://schemas.openxmlformats.org/officeDocument/2006/relationships/hyperlink" Target="../../../../../../../../:x:/r/sites/AICSRAssistantLiveChat/_layouts/15/Doc.aspx?sourcedoc=%7BF4BEAF92-C65C-432F-9894-DE70798717B2%7D&amp;file=%EC%86%8C%EB%B6%84%EB%A5%98_%ED%94%84%EB%A1%AC%ED%94%84%ED%8A%B8_%EA%B0%9C%EC%84%A0%EB%B3%B4%EA%B3%A0%EC%84%9C.xlsx&amp;action=default&amp;mobileredirect=true" TargetMode="External"/><Relationship Id="rId4" Type="http://schemas.openxmlformats.org/officeDocument/2006/relationships/hyperlink" Target="../../../../../../../../:x:/r/sites/AICSRAssistantLiveChat/_layouts/15/Doc.aspx?sourcedoc=%7B5917F4C0-F0A1-4FBD-8090-36E0EF3685A1%7D&amp;file=67%25-74%25_%EB%B6%84%EC%84%9D%20%EB%B3%B4%EA%B3%A0%EC%84%9C.xlsx&amp;action=default&amp;mobileredirect=true" TargetMode="External"/><Relationship Id="rId9"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26F08-1A81-4AB2-A0E2-9D61B2BB25A3}">
  <sheetPr>
    <tabColor rgb="FFFF0000"/>
  </sheetPr>
  <dimension ref="A1:Z84"/>
  <sheetViews>
    <sheetView workbookViewId="0">
      <pane ySplit="6" topLeftCell="A7" activePane="bottomLeft" state="frozen"/>
      <selection pane="bottomLeft" activeCell="C15" sqref="C15"/>
    </sheetView>
  </sheetViews>
  <sheetFormatPr defaultColWidth="9" defaultRowHeight="16.5" customHeight="1"/>
  <cols>
    <col min="1" max="1" width="9.75" bestFit="1" customWidth="1"/>
    <col min="2" max="2" width="23.25" customWidth="1"/>
    <col min="3" max="3" width="11.625" bestFit="1" customWidth="1"/>
    <col min="4" max="4" width="14" customWidth="1"/>
    <col min="5" max="5" width="9" hidden="1" customWidth="1"/>
    <col min="6" max="7" width="17.25" hidden="1" customWidth="1"/>
    <col min="8" max="8" width="8.25" customWidth="1"/>
    <col min="9" max="9" width="9" customWidth="1"/>
    <col min="10" max="26" width="10.625" customWidth="1"/>
  </cols>
  <sheetData>
    <row r="1" spans="1:26" ht="16.5" customHeight="1">
      <c r="K1" s="32"/>
      <c r="N1" s="63"/>
      <c r="O1" s="63"/>
      <c r="P1" s="63"/>
      <c r="Q1" s="63"/>
    </row>
    <row r="2" spans="1:26" ht="17.45">
      <c r="A2" s="23"/>
      <c r="B2" s="23"/>
      <c r="C2" s="23"/>
      <c r="D2" s="23"/>
      <c r="E2" s="23"/>
      <c r="F2" s="23"/>
      <c r="G2" s="23"/>
      <c r="H2" s="23"/>
      <c r="I2" s="23"/>
      <c r="J2" s="693" t="s">
        <v>0</v>
      </c>
      <c r="K2" s="693"/>
      <c r="L2" s="693"/>
      <c r="M2" s="693"/>
      <c r="N2" s="694" t="s">
        <v>1</v>
      </c>
      <c r="O2" s="694"/>
      <c r="P2" s="694"/>
      <c r="Q2" s="684" t="s">
        <v>2</v>
      </c>
      <c r="R2" s="684"/>
      <c r="S2" s="684"/>
      <c r="T2" s="23"/>
      <c r="U2" s="23"/>
      <c r="V2" s="23"/>
      <c r="W2" s="23"/>
      <c r="X2" s="23"/>
      <c r="Y2" s="23"/>
      <c r="Z2" s="23"/>
    </row>
    <row r="3" spans="1:26" ht="17.45">
      <c r="A3" s="22" t="s">
        <v>3</v>
      </c>
      <c r="B3" s="22" t="s">
        <v>4</v>
      </c>
      <c r="C3" s="30" t="s">
        <v>5</v>
      </c>
      <c r="D3" s="30" t="s">
        <v>6</v>
      </c>
      <c r="E3" s="30"/>
      <c r="F3" s="30" t="s">
        <v>7</v>
      </c>
      <c r="G3" s="30" t="s">
        <v>8</v>
      </c>
      <c r="H3" s="30" t="s">
        <v>9</v>
      </c>
      <c r="I3" s="27" t="s">
        <v>10</v>
      </c>
      <c r="J3" s="62">
        <v>46034</v>
      </c>
      <c r="K3" s="62">
        <v>46041</v>
      </c>
      <c r="L3" s="28">
        <v>46048</v>
      </c>
      <c r="M3" s="28">
        <v>46055</v>
      </c>
      <c r="N3" s="28">
        <v>46062</v>
      </c>
      <c r="O3" s="28">
        <v>46069</v>
      </c>
      <c r="P3" s="28">
        <v>46076</v>
      </c>
      <c r="Q3" s="28">
        <v>46083</v>
      </c>
      <c r="R3" s="28">
        <v>46090</v>
      </c>
      <c r="S3" s="28">
        <v>46097</v>
      </c>
      <c r="T3" s="28">
        <v>46104</v>
      </c>
      <c r="U3" s="28">
        <v>46111</v>
      </c>
      <c r="V3" s="28">
        <v>46118</v>
      </c>
      <c r="W3" s="28">
        <v>46125</v>
      </c>
      <c r="X3" s="28">
        <v>46132</v>
      </c>
      <c r="Y3" s="28">
        <v>46139</v>
      </c>
      <c r="Z3" s="28">
        <v>46146</v>
      </c>
    </row>
    <row r="4" spans="1:26" ht="17.100000000000001" customHeight="1">
      <c r="A4" s="685" t="s">
        <v>11</v>
      </c>
      <c r="B4" s="686"/>
      <c r="C4" s="20"/>
      <c r="D4" s="20"/>
      <c r="E4" s="20"/>
      <c r="F4" s="20"/>
      <c r="G4" s="20"/>
      <c r="H4" s="20"/>
      <c r="I4" s="24">
        <v>0.95</v>
      </c>
      <c r="J4" s="24" t="s">
        <v>12</v>
      </c>
      <c r="K4" s="64">
        <f t="shared" ref="K4:Z4" si="0">AVERAGE(K9,K11,K13,K15,K17,K19)</f>
        <v>0.53333333333333333</v>
      </c>
      <c r="L4" s="64">
        <f t="shared" si="0"/>
        <v>0.7403333333333334</v>
      </c>
      <c r="M4" s="64" t="e">
        <f t="shared" si="0"/>
        <v>#DIV/0!</v>
      </c>
      <c r="N4" s="64" t="e">
        <f t="shared" si="0"/>
        <v>#DIV/0!</v>
      </c>
      <c r="O4" s="64" t="e">
        <f t="shared" si="0"/>
        <v>#DIV/0!</v>
      </c>
      <c r="P4" s="64" t="e">
        <f t="shared" si="0"/>
        <v>#DIV/0!</v>
      </c>
      <c r="Q4" s="64" t="e">
        <f t="shared" si="0"/>
        <v>#DIV/0!</v>
      </c>
      <c r="R4" s="64" t="e">
        <f t="shared" si="0"/>
        <v>#DIV/0!</v>
      </c>
      <c r="S4" s="64" t="e">
        <f t="shared" si="0"/>
        <v>#DIV/0!</v>
      </c>
      <c r="T4" s="64" t="e">
        <f t="shared" si="0"/>
        <v>#DIV/0!</v>
      </c>
      <c r="U4" s="64" t="e">
        <f t="shared" si="0"/>
        <v>#DIV/0!</v>
      </c>
      <c r="V4" s="64" t="e">
        <f t="shared" si="0"/>
        <v>#DIV/0!</v>
      </c>
      <c r="W4" s="64" t="e">
        <f t="shared" si="0"/>
        <v>#DIV/0!</v>
      </c>
      <c r="X4" s="64" t="e">
        <f t="shared" si="0"/>
        <v>#DIV/0!</v>
      </c>
      <c r="Y4" s="64" t="e">
        <f t="shared" si="0"/>
        <v>#DIV/0!</v>
      </c>
      <c r="Z4" s="64" t="e">
        <f t="shared" si="0"/>
        <v>#DIV/0!</v>
      </c>
    </row>
    <row r="5" spans="1:26" ht="17.100000000000001" customHeight="1">
      <c r="A5" s="685" t="s">
        <v>13</v>
      </c>
      <c r="B5" s="686"/>
      <c r="C5" s="20"/>
      <c r="D5" s="20"/>
      <c r="E5" s="20"/>
      <c r="F5" s="20"/>
      <c r="G5" s="20"/>
      <c r="H5" s="20"/>
      <c r="I5" s="24">
        <v>0.95</v>
      </c>
      <c r="J5" s="24" t="s">
        <v>12</v>
      </c>
      <c r="K5" s="64" t="e">
        <f t="shared" ref="K5:Z5" si="1">AVERAGE(K34:K41)</f>
        <v>#DIV/0!</v>
      </c>
      <c r="L5" s="64">
        <f t="shared" si="1"/>
        <v>0.50250000000000006</v>
      </c>
      <c r="M5" s="64" t="e">
        <f t="shared" si="1"/>
        <v>#DIV/0!</v>
      </c>
      <c r="N5" s="64" t="e">
        <f t="shared" si="1"/>
        <v>#DIV/0!</v>
      </c>
      <c r="O5" s="64" t="e">
        <f t="shared" si="1"/>
        <v>#DIV/0!</v>
      </c>
      <c r="P5" s="64" t="e">
        <f t="shared" si="1"/>
        <v>#DIV/0!</v>
      </c>
      <c r="Q5" s="64" t="e">
        <f t="shared" si="1"/>
        <v>#DIV/0!</v>
      </c>
      <c r="R5" s="64" t="e">
        <f t="shared" si="1"/>
        <v>#DIV/0!</v>
      </c>
      <c r="S5" s="64" t="e">
        <f t="shared" si="1"/>
        <v>#DIV/0!</v>
      </c>
      <c r="T5" s="64" t="e">
        <f t="shared" si="1"/>
        <v>#DIV/0!</v>
      </c>
      <c r="U5" s="64" t="e">
        <f t="shared" si="1"/>
        <v>#DIV/0!</v>
      </c>
      <c r="V5" s="64" t="e">
        <f t="shared" si="1"/>
        <v>#DIV/0!</v>
      </c>
      <c r="W5" s="64" t="e">
        <f t="shared" si="1"/>
        <v>#DIV/0!</v>
      </c>
      <c r="X5" s="64" t="e">
        <f t="shared" si="1"/>
        <v>#DIV/0!</v>
      </c>
      <c r="Y5" s="64" t="e">
        <f t="shared" si="1"/>
        <v>#DIV/0!</v>
      </c>
      <c r="Z5" s="64" t="e">
        <f t="shared" si="1"/>
        <v>#DIV/0!</v>
      </c>
    </row>
    <row r="6" spans="1:26" ht="8.25" customHeight="1">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17.45">
      <c r="A7" s="671" t="s">
        <v>14</v>
      </c>
      <c r="B7" s="687" t="s">
        <v>15</v>
      </c>
      <c r="C7" s="43" t="s">
        <v>16</v>
      </c>
      <c r="D7" s="690" t="s">
        <v>17</v>
      </c>
      <c r="E7" s="83"/>
      <c r="F7" s="41" t="s">
        <v>18</v>
      </c>
      <c r="G7" s="55"/>
      <c r="H7" s="679" t="s">
        <v>19</v>
      </c>
      <c r="I7" s="25">
        <v>0.95</v>
      </c>
      <c r="J7" s="29"/>
      <c r="K7" s="29">
        <v>0.95</v>
      </c>
      <c r="L7" s="29">
        <v>0.94</v>
      </c>
      <c r="M7" s="29"/>
      <c r="N7" s="29"/>
      <c r="O7" s="29"/>
      <c r="P7" s="29"/>
      <c r="Q7" s="29"/>
      <c r="R7" s="29"/>
      <c r="S7" s="29"/>
      <c r="T7" s="29"/>
      <c r="U7" s="29"/>
      <c r="V7" s="29"/>
      <c r="W7" s="29"/>
      <c r="X7" s="29"/>
      <c r="Y7" s="29"/>
      <c r="Z7" s="29"/>
    </row>
    <row r="8" spans="1:26" ht="17.45">
      <c r="A8" s="671"/>
      <c r="B8" s="688"/>
      <c r="C8" s="43" t="s">
        <v>20</v>
      </c>
      <c r="D8" s="691"/>
      <c r="E8" s="84"/>
      <c r="F8" s="21" t="s">
        <v>21</v>
      </c>
      <c r="G8" s="56"/>
      <c r="H8" s="680"/>
      <c r="I8" s="25">
        <v>0.95</v>
      </c>
      <c r="J8" s="29"/>
      <c r="K8" s="29">
        <v>0.81</v>
      </c>
      <c r="L8" s="29">
        <v>0.91100000000000003</v>
      </c>
      <c r="M8" s="29"/>
      <c r="N8" s="29"/>
      <c r="O8" s="29"/>
      <c r="P8" s="29"/>
      <c r="Q8" s="29"/>
      <c r="R8" s="29"/>
      <c r="S8" s="29"/>
      <c r="T8" s="29"/>
      <c r="U8" s="29"/>
      <c r="V8" s="29"/>
      <c r="W8" s="29"/>
      <c r="X8" s="29"/>
      <c r="Y8" s="29"/>
      <c r="Z8" s="29"/>
    </row>
    <row r="9" spans="1:26" ht="17.45">
      <c r="A9" s="671"/>
      <c r="B9" s="689"/>
      <c r="C9" s="43" t="s">
        <v>22</v>
      </c>
      <c r="D9" s="692"/>
      <c r="E9" s="85"/>
      <c r="F9" s="21" t="s">
        <v>21</v>
      </c>
      <c r="G9" s="57"/>
      <c r="H9" s="683"/>
      <c r="I9" s="25">
        <v>0.95</v>
      </c>
      <c r="J9" s="29"/>
      <c r="K9" s="29">
        <v>0.62</v>
      </c>
      <c r="L9" s="82">
        <v>0.74299999999999999</v>
      </c>
      <c r="M9" s="29"/>
      <c r="N9" s="29"/>
      <c r="O9" s="29"/>
      <c r="P9" s="29"/>
      <c r="Q9" s="29"/>
      <c r="R9" s="29"/>
      <c r="S9" s="29"/>
      <c r="T9" s="29"/>
      <c r="U9" s="29"/>
      <c r="V9" s="29"/>
      <c r="W9" s="29"/>
      <c r="X9" s="29"/>
      <c r="Y9" s="29"/>
      <c r="Z9" s="29"/>
    </row>
    <row r="10" spans="1:26" ht="17.45">
      <c r="A10" s="671"/>
      <c r="B10" s="687" t="s">
        <v>23</v>
      </c>
      <c r="C10" s="43" t="s">
        <v>20</v>
      </c>
      <c r="D10" s="690" t="s">
        <v>24</v>
      </c>
      <c r="E10" s="83"/>
      <c r="F10" s="21" t="s">
        <v>21</v>
      </c>
      <c r="G10" s="58"/>
      <c r="H10" s="690"/>
      <c r="I10" s="25">
        <v>0.95</v>
      </c>
      <c r="J10" s="29"/>
      <c r="K10" s="29"/>
      <c r="L10" s="29"/>
      <c r="M10" s="29"/>
      <c r="N10" s="29"/>
      <c r="O10" s="29"/>
      <c r="P10" s="29"/>
      <c r="Q10" s="29"/>
      <c r="R10" s="29"/>
      <c r="S10" s="29"/>
      <c r="T10" s="29"/>
      <c r="U10" s="29"/>
      <c r="V10" s="29"/>
      <c r="W10" s="29"/>
      <c r="X10" s="29"/>
      <c r="Y10" s="29"/>
      <c r="Z10" s="29"/>
    </row>
    <row r="11" spans="1:26" ht="17.45">
      <c r="A11" s="671"/>
      <c r="B11" s="688"/>
      <c r="C11" s="43" t="s">
        <v>22</v>
      </c>
      <c r="D11" s="691"/>
      <c r="E11" s="84"/>
      <c r="F11" s="21" t="s">
        <v>21</v>
      </c>
      <c r="G11" s="56"/>
      <c r="H11" s="691"/>
      <c r="I11" s="25">
        <v>0.95</v>
      </c>
      <c r="J11" s="29"/>
      <c r="K11" s="29"/>
      <c r="L11" s="29"/>
      <c r="M11" s="29"/>
      <c r="N11" s="29"/>
      <c r="O11" s="29"/>
      <c r="P11" s="29"/>
      <c r="Q11" s="29"/>
      <c r="R11" s="29"/>
      <c r="S11" s="29"/>
      <c r="T11" s="29"/>
      <c r="U11" s="29"/>
      <c r="V11" s="29"/>
      <c r="W11" s="29"/>
      <c r="X11" s="29"/>
      <c r="Y11" s="29"/>
      <c r="Z11" s="29"/>
    </row>
    <row r="12" spans="1:26" ht="17.45">
      <c r="A12" s="671"/>
      <c r="B12" s="687" t="s">
        <v>25</v>
      </c>
      <c r="C12" s="43" t="s">
        <v>20</v>
      </c>
      <c r="D12" s="690" t="s">
        <v>26</v>
      </c>
      <c r="E12" s="83"/>
      <c r="F12" s="21" t="s">
        <v>21</v>
      </c>
      <c r="G12" s="58"/>
      <c r="H12" s="679" t="s">
        <v>19</v>
      </c>
      <c r="I12" s="25">
        <v>0.95</v>
      </c>
      <c r="J12" s="29"/>
      <c r="K12" s="29"/>
      <c r="L12" s="29"/>
      <c r="M12" s="29"/>
      <c r="N12" s="29"/>
      <c r="O12" s="29"/>
      <c r="P12" s="29"/>
      <c r="Q12" s="29"/>
      <c r="R12" s="29"/>
      <c r="S12" s="29"/>
      <c r="T12" s="29"/>
      <c r="U12" s="29"/>
      <c r="V12" s="29"/>
      <c r="W12" s="29"/>
      <c r="X12" s="29"/>
      <c r="Y12" s="29"/>
      <c r="Z12" s="29"/>
    </row>
    <row r="13" spans="1:26" ht="17.45">
      <c r="A13" s="671"/>
      <c r="B13" s="689"/>
      <c r="C13" s="43" t="s">
        <v>22</v>
      </c>
      <c r="D13" s="692"/>
      <c r="E13" s="85"/>
      <c r="F13" s="21" t="s">
        <v>21</v>
      </c>
      <c r="G13" s="57"/>
      <c r="H13" s="683"/>
      <c r="I13" s="25">
        <v>0.95</v>
      </c>
      <c r="J13" s="29"/>
      <c r="K13" s="29"/>
      <c r="L13" s="29"/>
      <c r="M13" s="29"/>
      <c r="N13" s="29"/>
      <c r="O13" s="29"/>
      <c r="P13" s="29"/>
      <c r="Q13" s="29"/>
      <c r="R13" s="29"/>
      <c r="S13" s="29"/>
      <c r="T13" s="29"/>
      <c r="U13" s="29"/>
      <c r="V13" s="29"/>
      <c r="W13" s="29"/>
      <c r="X13" s="29"/>
      <c r="Y13" s="29"/>
      <c r="Z13" s="29"/>
    </row>
    <row r="14" spans="1:26" ht="17.45">
      <c r="A14" s="671"/>
      <c r="B14" s="687" t="s">
        <v>27</v>
      </c>
      <c r="C14" s="43" t="s">
        <v>20</v>
      </c>
      <c r="D14" s="690" t="s">
        <v>28</v>
      </c>
      <c r="E14" s="83"/>
      <c r="F14" s="21" t="s">
        <v>21</v>
      </c>
      <c r="G14" s="58"/>
      <c r="H14" s="679" t="s">
        <v>19</v>
      </c>
      <c r="I14" s="25">
        <v>0.95</v>
      </c>
      <c r="J14" s="29"/>
      <c r="K14" s="29">
        <v>0.64</v>
      </c>
      <c r="L14" s="29">
        <v>0.68700000000000006</v>
      </c>
      <c r="M14" s="29"/>
      <c r="N14" s="29"/>
      <c r="O14" s="29"/>
      <c r="P14" s="29"/>
      <c r="Q14" s="29"/>
      <c r="R14" s="29"/>
      <c r="S14" s="29"/>
      <c r="T14" s="29"/>
      <c r="U14" s="29"/>
      <c r="V14" s="29"/>
      <c r="W14" s="29"/>
      <c r="X14" s="29"/>
      <c r="Y14" s="29"/>
      <c r="Z14" s="29"/>
    </row>
    <row r="15" spans="1:26" ht="17.45">
      <c r="A15" s="671"/>
      <c r="B15" s="689"/>
      <c r="C15" s="43" t="s">
        <v>22</v>
      </c>
      <c r="D15" s="692"/>
      <c r="E15" s="85"/>
      <c r="F15" s="21" t="s">
        <v>21</v>
      </c>
      <c r="G15" s="57"/>
      <c r="H15" s="683"/>
      <c r="I15" s="25">
        <v>0.95</v>
      </c>
      <c r="J15" s="29"/>
      <c r="K15" s="29">
        <v>0.52</v>
      </c>
      <c r="L15" s="29">
        <v>0.76700000000000002</v>
      </c>
      <c r="M15" s="29"/>
      <c r="N15" s="29"/>
      <c r="O15" s="29"/>
      <c r="P15" s="29"/>
      <c r="Q15" s="29"/>
      <c r="R15" s="29"/>
      <c r="S15" s="29"/>
      <c r="T15" s="29"/>
      <c r="U15" s="29"/>
      <c r="V15" s="29"/>
      <c r="W15" s="29"/>
      <c r="X15" s="29"/>
      <c r="Y15" s="29"/>
      <c r="Z15" s="29"/>
    </row>
    <row r="16" spans="1:26" ht="17.45">
      <c r="A16" s="671"/>
      <c r="B16" s="687" t="s">
        <v>29</v>
      </c>
      <c r="C16" s="43" t="s">
        <v>20</v>
      </c>
      <c r="D16" s="690" t="s">
        <v>30</v>
      </c>
      <c r="E16" s="83"/>
      <c r="F16" s="21" t="s">
        <v>21</v>
      </c>
      <c r="G16" s="58"/>
      <c r="H16" s="679" t="s">
        <v>19</v>
      </c>
      <c r="I16" s="25">
        <v>0.95</v>
      </c>
      <c r="J16" s="29"/>
      <c r="K16" s="29"/>
      <c r="L16" s="29"/>
      <c r="M16" s="29"/>
      <c r="N16" s="29"/>
      <c r="O16" s="29"/>
      <c r="P16" s="29"/>
      <c r="Q16" s="29"/>
      <c r="R16" s="29"/>
      <c r="S16" s="29"/>
      <c r="T16" s="29"/>
      <c r="U16" s="29"/>
      <c r="V16" s="29"/>
      <c r="W16" s="29"/>
      <c r="X16" s="29"/>
      <c r="Y16" s="29"/>
      <c r="Z16" s="29"/>
    </row>
    <row r="17" spans="1:26" ht="17.45">
      <c r="A17" s="671"/>
      <c r="B17" s="689"/>
      <c r="C17" s="43" t="s">
        <v>22</v>
      </c>
      <c r="D17" s="692"/>
      <c r="E17" s="85"/>
      <c r="F17" s="21" t="s">
        <v>21</v>
      </c>
      <c r="G17" s="57"/>
      <c r="H17" s="683"/>
      <c r="I17" s="25">
        <v>0.95</v>
      </c>
      <c r="J17" s="29"/>
      <c r="K17" s="29"/>
      <c r="L17" s="29"/>
      <c r="M17" s="29"/>
      <c r="N17" s="29"/>
      <c r="O17" s="29"/>
      <c r="P17" s="29"/>
      <c r="Q17" s="29"/>
      <c r="R17" s="29"/>
      <c r="S17" s="29"/>
      <c r="T17" s="29"/>
      <c r="U17" s="29"/>
      <c r="V17" s="29"/>
      <c r="W17" s="29"/>
      <c r="X17" s="29"/>
      <c r="Y17" s="29"/>
      <c r="Z17" s="29"/>
    </row>
    <row r="18" spans="1:26" ht="17.45">
      <c r="A18" s="671"/>
      <c r="B18" s="687" t="s">
        <v>31</v>
      </c>
      <c r="C18" s="43" t="s">
        <v>20</v>
      </c>
      <c r="D18" s="690" t="s">
        <v>32</v>
      </c>
      <c r="E18" s="83"/>
      <c r="F18" s="21" t="s">
        <v>21</v>
      </c>
      <c r="G18" s="58"/>
      <c r="H18" s="679" t="s">
        <v>19</v>
      </c>
      <c r="I18" s="25">
        <v>0.95</v>
      </c>
      <c r="J18" s="29"/>
      <c r="K18" s="29">
        <v>0.74</v>
      </c>
      <c r="L18" s="29">
        <v>0.82899999999999996</v>
      </c>
      <c r="M18" s="29"/>
      <c r="N18" s="29"/>
      <c r="O18" s="29"/>
      <c r="P18" s="29"/>
      <c r="Q18" s="29"/>
      <c r="R18" s="29"/>
      <c r="S18" s="29"/>
      <c r="T18" s="29"/>
      <c r="U18" s="29"/>
      <c r="V18" s="29"/>
      <c r="W18" s="29"/>
      <c r="X18" s="29"/>
      <c r="Y18" s="29"/>
      <c r="Z18" s="29"/>
    </row>
    <row r="19" spans="1:26" ht="17.45">
      <c r="A19" s="671"/>
      <c r="B19" s="689"/>
      <c r="C19" s="43" t="s">
        <v>22</v>
      </c>
      <c r="D19" s="692"/>
      <c r="E19" s="85"/>
      <c r="F19" s="21" t="s">
        <v>21</v>
      </c>
      <c r="G19" s="57"/>
      <c r="H19" s="683"/>
      <c r="I19" s="25">
        <v>0.95</v>
      </c>
      <c r="J19" s="29"/>
      <c r="K19" s="29">
        <v>0.46</v>
      </c>
      <c r="L19" s="29">
        <v>0.71099999999999997</v>
      </c>
      <c r="M19" s="29"/>
      <c r="N19" s="29"/>
      <c r="O19" s="29"/>
      <c r="P19" s="29"/>
      <c r="Q19" s="29"/>
      <c r="R19" s="29"/>
      <c r="S19" s="29"/>
      <c r="T19" s="29"/>
      <c r="U19" s="29"/>
      <c r="V19" s="29"/>
      <c r="W19" s="29"/>
      <c r="X19" s="29"/>
      <c r="Y19" s="29"/>
      <c r="Z19" s="29"/>
    </row>
    <row r="20" spans="1:26" ht="17.45" hidden="1">
      <c r="A20" s="671"/>
      <c r="B20" s="53" t="s">
        <v>33</v>
      </c>
      <c r="C20" s="44" t="s">
        <v>22</v>
      </c>
      <c r="D20" s="42" t="s">
        <v>34</v>
      </c>
      <c r="E20" s="42"/>
      <c r="F20" s="40" t="s">
        <v>35</v>
      </c>
      <c r="G20" s="40"/>
      <c r="H20" s="66"/>
      <c r="I20" s="25">
        <v>0.95</v>
      </c>
      <c r="J20" s="29"/>
      <c r="K20" s="29"/>
      <c r="L20" s="29"/>
      <c r="M20" s="29"/>
      <c r="N20" s="29"/>
      <c r="O20" s="29"/>
      <c r="P20" s="29"/>
      <c r="Q20" s="29"/>
      <c r="R20" s="29"/>
      <c r="S20" s="29"/>
      <c r="T20" s="29"/>
      <c r="U20" s="29"/>
      <c r="V20" s="29"/>
      <c r="W20" s="29"/>
      <c r="X20" s="29"/>
      <c r="Y20" s="29"/>
      <c r="Z20" s="29"/>
    </row>
    <row r="21" spans="1:26" ht="17.45" hidden="1">
      <c r="A21" s="671"/>
      <c r="B21" s="53" t="s">
        <v>36</v>
      </c>
      <c r="C21" s="44" t="s">
        <v>22</v>
      </c>
      <c r="D21" s="38" t="s">
        <v>37</v>
      </c>
      <c r="E21" s="38"/>
      <c r="F21" s="40" t="s">
        <v>35</v>
      </c>
      <c r="G21" s="40"/>
      <c r="H21" s="66"/>
      <c r="I21" s="25">
        <v>0.95</v>
      </c>
      <c r="J21" s="29"/>
      <c r="K21" s="29"/>
      <c r="L21" s="29"/>
      <c r="M21" s="29"/>
      <c r="N21" s="29"/>
      <c r="O21" s="29"/>
      <c r="P21" s="29"/>
      <c r="Q21" s="29"/>
      <c r="R21" s="29"/>
      <c r="S21" s="29"/>
      <c r="T21" s="29"/>
      <c r="U21" s="29"/>
      <c r="V21" s="29"/>
      <c r="W21" s="29"/>
      <c r="X21" s="29"/>
      <c r="Y21" s="29"/>
      <c r="Z21" s="29"/>
    </row>
    <row r="22" spans="1:26" ht="17.45" hidden="1">
      <c r="A22" s="671"/>
      <c r="B22" s="53" t="s">
        <v>38</v>
      </c>
      <c r="C22" s="44" t="s">
        <v>22</v>
      </c>
      <c r="D22" s="38" t="s">
        <v>37</v>
      </c>
      <c r="E22" s="38"/>
      <c r="F22" s="40" t="s">
        <v>35</v>
      </c>
      <c r="G22" s="40"/>
      <c r="H22" s="66"/>
      <c r="I22" s="25">
        <v>0.95</v>
      </c>
      <c r="J22" s="29"/>
      <c r="K22" s="29"/>
      <c r="L22" s="29"/>
      <c r="M22" s="29"/>
      <c r="N22" s="29"/>
      <c r="O22" s="29"/>
      <c r="P22" s="29"/>
      <c r="Q22" s="29"/>
      <c r="R22" s="29"/>
      <c r="S22" s="29"/>
      <c r="T22" s="29"/>
      <c r="U22" s="29"/>
      <c r="V22" s="29"/>
      <c r="W22" s="29"/>
      <c r="X22" s="29"/>
      <c r="Y22" s="29"/>
      <c r="Z22" s="29"/>
    </row>
    <row r="23" spans="1:26" ht="17.45" hidden="1">
      <c r="A23" s="671" t="s">
        <v>39</v>
      </c>
      <c r="B23" s="54" t="s">
        <v>40</v>
      </c>
      <c r="C23" s="44"/>
      <c r="D23" s="38" t="s">
        <v>37</v>
      </c>
      <c r="E23" s="38"/>
      <c r="F23" s="40" t="s">
        <v>21</v>
      </c>
      <c r="G23" s="59"/>
      <c r="H23" s="67"/>
      <c r="I23" s="25">
        <v>0.95</v>
      </c>
      <c r="J23" s="29"/>
      <c r="K23" s="29"/>
      <c r="L23" s="29"/>
      <c r="M23" s="29"/>
      <c r="N23" s="29"/>
      <c r="O23" s="29"/>
      <c r="P23" s="29"/>
      <c r="Q23" s="29"/>
      <c r="R23" s="29"/>
      <c r="S23" s="29"/>
      <c r="T23" s="29"/>
      <c r="U23" s="29"/>
      <c r="V23" s="29"/>
      <c r="W23" s="29"/>
      <c r="X23" s="29"/>
      <c r="Y23" s="29"/>
      <c r="Z23" s="29"/>
    </row>
    <row r="24" spans="1:26" ht="17.45" hidden="1">
      <c r="A24" s="671"/>
      <c r="B24" s="54" t="s">
        <v>41</v>
      </c>
      <c r="C24" s="44"/>
      <c r="D24" s="38" t="s">
        <v>37</v>
      </c>
      <c r="E24" s="38"/>
      <c r="F24" s="40" t="s">
        <v>21</v>
      </c>
      <c r="G24" s="59"/>
      <c r="H24" s="67"/>
      <c r="I24" s="25">
        <v>0.95</v>
      </c>
      <c r="J24" s="29"/>
      <c r="K24" s="29"/>
      <c r="L24" s="29"/>
      <c r="M24" s="29"/>
      <c r="N24" s="29"/>
      <c r="O24" s="29"/>
      <c r="P24" s="29"/>
      <c r="Q24" s="29"/>
      <c r="R24" s="29"/>
      <c r="S24" s="29"/>
      <c r="T24" s="29"/>
      <c r="U24" s="29"/>
      <c r="V24" s="29"/>
      <c r="W24" s="29"/>
      <c r="X24" s="29"/>
      <c r="Y24" s="29"/>
      <c r="Z24" s="29"/>
    </row>
    <row r="25" spans="1:26" ht="17.45" hidden="1">
      <c r="A25" s="671"/>
      <c r="B25" s="54" t="s">
        <v>42</v>
      </c>
      <c r="C25" s="44"/>
      <c r="D25" s="38" t="s">
        <v>37</v>
      </c>
      <c r="E25" s="38"/>
      <c r="F25" s="40" t="s">
        <v>21</v>
      </c>
      <c r="G25" s="59"/>
      <c r="H25" s="67"/>
      <c r="I25" s="25">
        <v>0.95</v>
      </c>
      <c r="J25" s="29"/>
      <c r="K25" s="29"/>
      <c r="L25" s="29"/>
      <c r="M25" s="29"/>
      <c r="N25" s="29"/>
      <c r="O25" s="29"/>
      <c r="P25" s="29"/>
      <c r="Q25" s="29"/>
      <c r="R25" s="29"/>
      <c r="S25" s="29"/>
      <c r="T25" s="29"/>
      <c r="U25" s="29"/>
      <c r="V25" s="29"/>
      <c r="W25" s="29"/>
      <c r="X25" s="29"/>
      <c r="Y25" s="29"/>
      <c r="Z25" s="29"/>
    </row>
    <row r="26" spans="1:26" ht="17.45" hidden="1">
      <c r="A26" s="671"/>
      <c r="B26" s="54" t="s">
        <v>43</v>
      </c>
      <c r="C26" s="44"/>
      <c r="D26" s="38" t="s">
        <v>37</v>
      </c>
      <c r="E26" s="38"/>
      <c r="F26" s="40" t="s">
        <v>21</v>
      </c>
      <c r="G26" s="59"/>
      <c r="H26" s="67"/>
      <c r="I26" s="25">
        <v>0.95</v>
      </c>
      <c r="J26" s="29"/>
      <c r="K26" s="29"/>
      <c r="L26" s="29"/>
      <c r="M26" s="29"/>
      <c r="N26" s="29"/>
      <c r="O26" s="29"/>
      <c r="P26" s="29"/>
      <c r="Q26" s="29"/>
      <c r="R26" s="29"/>
      <c r="S26" s="29"/>
      <c r="T26" s="29"/>
      <c r="U26" s="29"/>
      <c r="V26" s="29"/>
      <c r="W26" s="29"/>
      <c r="X26" s="29"/>
      <c r="Y26" s="29"/>
      <c r="Z26" s="29"/>
    </row>
    <row r="27" spans="1:26" ht="17.45" hidden="1">
      <c r="A27" s="671"/>
      <c r="B27" s="54" t="s">
        <v>44</v>
      </c>
      <c r="C27" s="44"/>
      <c r="D27" s="38" t="s">
        <v>37</v>
      </c>
      <c r="E27" s="38"/>
      <c r="F27" s="40" t="s">
        <v>21</v>
      </c>
      <c r="G27" s="59"/>
      <c r="H27" s="67"/>
      <c r="I27" s="25">
        <v>0.95</v>
      </c>
      <c r="J27" s="29"/>
      <c r="K27" s="29"/>
      <c r="L27" s="29"/>
      <c r="M27" s="29"/>
      <c r="N27" s="29"/>
      <c r="O27" s="29"/>
      <c r="P27" s="29"/>
      <c r="Q27" s="29"/>
      <c r="R27" s="29"/>
      <c r="S27" s="29"/>
      <c r="T27" s="29"/>
      <c r="U27" s="29"/>
      <c r="V27" s="29"/>
      <c r="W27" s="29"/>
      <c r="X27" s="29"/>
      <c r="Y27" s="29"/>
      <c r="Z27" s="29"/>
    </row>
    <row r="28" spans="1:26" ht="17.45" hidden="1">
      <c r="A28" s="671"/>
      <c r="B28" s="672" t="s">
        <v>45</v>
      </c>
      <c r="C28" s="44" t="s">
        <v>46</v>
      </c>
      <c r="D28" s="39" t="s">
        <v>47</v>
      </c>
      <c r="E28" s="39"/>
      <c r="F28" s="40" t="s">
        <v>21</v>
      </c>
      <c r="G28" s="59"/>
      <c r="H28" s="674"/>
      <c r="I28" s="25">
        <v>0.95</v>
      </c>
      <c r="J28" s="29"/>
      <c r="K28" s="29"/>
      <c r="L28" s="29"/>
      <c r="M28" s="29"/>
      <c r="N28" s="29"/>
      <c r="O28" s="29"/>
      <c r="P28" s="29"/>
      <c r="Q28" s="29"/>
      <c r="R28" s="29"/>
      <c r="S28" s="29"/>
      <c r="T28" s="29"/>
      <c r="U28" s="29"/>
      <c r="V28" s="29"/>
      <c r="W28" s="29"/>
      <c r="X28" s="29"/>
      <c r="Y28" s="29"/>
      <c r="Z28" s="29"/>
    </row>
    <row r="29" spans="1:26" ht="17.45" hidden="1">
      <c r="A29" s="671"/>
      <c r="B29" s="673"/>
      <c r="C29" s="44" t="s">
        <v>48</v>
      </c>
      <c r="D29" s="39"/>
      <c r="E29" s="39"/>
      <c r="F29" s="40"/>
      <c r="G29" s="60"/>
      <c r="H29" s="675"/>
      <c r="I29" s="25">
        <v>0.95</v>
      </c>
      <c r="J29" s="29"/>
      <c r="K29" s="29"/>
      <c r="L29" s="29"/>
      <c r="M29" s="29"/>
      <c r="N29" s="29"/>
      <c r="O29" s="29"/>
      <c r="P29" s="29"/>
      <c r="Q29" s="29"/>
      <c r="R29" s="29"/>
      <c r="S29" s="29"/>
      <c r="T29" s="29"/>
      <c r="U29" s="29"/>
      <c r="V29" s="29"/>
      <c r="W29" s="29"/>
      <c r="X29" s="29"/>
      <c r="Y29" s="29"/>
      <c r="Z29" s="29"/>
    </row>
    <row r="30" spans="1:26" ht="17.45" hidden="1">
      <c r="A30" s="671"/>
      <c r="B30" s="672" t="s">
        <v>49</v>
      </c>
      <c r="C30" s="44" t="s">
        <v>46</v>
      </c>
      <c r="D30" s="39" t="s">
        <v>47</v>
      </c>
      <c r="E30" s="39"/>
      <c r="F30" s="40" t="s">
        <v>21</v>
      </c>
      <c r="G30" s="59"/>
      <c r="H30" s="674"/>
      <c r="I30" s="25">
        <v>0.95</v>
      </c>
      <c r="J30" s="29"/>
      <c r="K30" s="29"/>
      <c r="L30" s="29"/>
      <c r="M30" s="29"/>
      <c r="N30" s="29"/>
      <c r="O30" s="29"/>
      <c r="P30" s="29"/>
      <c r="Q30" s="29"/>
      <c r="R30" s="29"/>
      <c r="S30" s="29"/>
      <c r="T30" s="29"/>
      <c r="U30" s="29"/>
      <c r="V30" s="29"/>
      <c r="W30" s="29"/>
      <c r="X30" s="29"/>
      <c r="Y30" s="29"/>
      <c r="Z30" s="29"/>
    </row>
    <row r="31" spans="1:26" ht="17.45" hidden="1">
      <c r="A31" s="671"/>
      <c r="B31" s="673"/>
      <c r="C31" s="44" t="s">
        <v>48</v>
      </c>
      <c r="D31" s="39"/>
      <c r="E31" s="39"/>
      <c r="F31" s="40"/>
      <c r="G31" s="60"/>
      <c r="H31" s="675"/>
      <c r="I31" s="25">
        <v>0.95</v>
      </c>
      <c r="J31" s="29"/>
      <c r="K31" s="29"/>
      <c r="L31" s="29"/>
      <c r="M31" s="29"/>
      <c r="N31" s="29"/>
      <c r="O31" s="29"/>
      <c r="P31" s="29"/>
      <c r="Q31" s="29"/>
      <c r="R31" s="29"/>
      <c r="S31" s="29"/>
      <c r="T31" s="29"/>
      <c r="U31" s="29"/>
      <c r="V31" s="29"/>
      <c r="W31" s="29"/>
      <c r="X31" s="29"/>
      <c r="Y31" s="29"/>
      <c r="Z31" s="29"/>
    </row>
    <row r="32" spans="1:26" ht="17.45" hidden="1">
      <c r="A32" s="671"/>
      <c r="B32" s="672" t="s">
        <v>50</v>
      </c>
      <c r="C32" s="44" t="s">
        <v>46</v>
      </c>
      <c r="D32" s="39" t="s">
        <v>47</v>
      </c>
      <c r="E32" s="39"/>
      <c r="F32" s="40" t="s">
        <v>21</v>
      </c>
      <c r="G32" s="59"/>
      <c r="H32" s="674"/>
      <c r="I32" s="25">
        <v>0.95</v>
      </c>
      <c r="J32" s="29"/>
      <c r="K32" s="29"/>
      <c r="L32" s="29"/>
      <c r="M32" s="29"/>
      <c r="N32" s="29"/>
      <c r="O32" s="29"/>
      <c r="P32" s="29"/>
      <c r="Q32" s="29"/>
      <c r="R32" s="29"/>
      <c r="S32" s="29"/>
      <c r="T32" s="29"/>
      <c r="U32" s="29"/>
      <c r="V32" s="29"/>
      <c r="W32" s="29"/>
      <c r="X32" s="29"/>
      <c r="Y32" s="29"/>
      <c r="Z32" s="29"/>
    </row>
    <row r="33" spans="1:26" ht="17.45" hidden="1">
      <c r="A33" s="671"/>
      <c r="B33" s="673"/>
      <c r="C33" s="44" t="s">
        <v>48</v>
      </c>
      <c r="D33" s="39"/>
      <c r="E33" s="39"/>
      <c r="F33" s="40"/>
      <c r="G33" s="60"/>
      <c r="H33" s="675"/>
      <c r="I33" s="25">
        <v>0.95</v>
      </c>
      <c r="J33" s="29"/>
      <c r="K33" s="29"/>
      <c r="L33" s="29"/>
      <c r="M33" s="29"/>
      <c r="N33" s="29"/>
      <c r="O33" s="29"/>
      <c r="P33" s="29"/>
      <c r="Q33" s="29"/>
      <c r="R33" s="29"/>
      <c r="S33" s="29"/>
      <c r="T33" s="29"/>
      <c r="U33" s="29"/>
      <c r="V33" s="29"/>
      <c r="W33" s="29"/>
      <c r="X33" s="29"/>
      <c r="Y33" s="29"/>
      <c r="Z33" s="29"/>
    </row>
    <row r="34" spans="1:26" ht="17.45">
      <c r="A34" s="671"/>
      <c r="B34" s="676" t="s">
        <v>51</v>
      </c>
      <c r="C34" s="44" t="s">
        <v>52</v>
      </c>
      <c r="D34" s="39" t="s">
        <v>47</v>
      </c>
      <c r="E34" s="39"/>
      <c r="F34" s="40" t="s">
        <v>21</v>
      </c>
      <c r="G34" s="59"/>
      <c r="H34" s="65" t="s">
        <v>19</v>
      </c>
      <c r="I34" s="25">
        <v>0.95</v>
      </c>
      <c r="J34" s="29"/>
      <c r="K34" s="29"/>
      <c r="L34" s="29">
        <v>0.4</v>
      </c>
      <c r="M34" s="29"/>
      <c r="N34" s="29"/>
      <c r="O34" s="29"/>
      <c r="P34" s="29"/>
      <c r="Q34" s="29"/>
      <c r="R34" s="29"/>
      <c r="S34" s="29"/>
      <c r="T34" s="29"/>
      <c r="U34" s="29"/>
      <c r="V34" s="29"/>
      <c r="W34" s="29"/>
      <c r="X34" s="29"/>
      <c r="Y34" s="29"/>
      <c r="Z34" s="29"/>
    </row>
    <row r="35" spans="1:26" ht="17.45">
      <c r="A35" s="671"/>
      <c r="B35" s="677"/>
      <c r="C35" s="44" t="s">
        <v>46</v>
      </c>
      <c r="D35" s="39" t="s">
        <v>47</v>
      </c>
      <c r="E35" s="39"/>
      <c r="F35" s="40"/>
      <c r="G35" s="60" t="s">
        <v>53</v>
      </c>
      <c r="H35" s="679" t="s">
        <v>19</v>
      </c>
      <c r="I35" s="25">
        <v>0.95</v>
      </c>
      <c r="J35" s="29"/>
      <c r="K35" s="29"/>
      <c r="L35" s="29">
        <v>0.48</v>
      </c>
      <c r="M35" s="29"/>
      <c r="N35" s="29"/>
      <c r="O35" s="29"/>
      <c r="P35" s="29"/>
      <c r="Q35" s="29"/>
      <c r="R35" s="29"/>
      <c r="S35" s="29"/>
      <c r="T35" s="29"/>
      <c r="U35" s="29"/>
      <c r="V35" s="29"/>
      <c r="W35" s="29"/>
      <c r="X35" s="29"/>
      <c r="Y35" s="29"/>
      <c r="Z35" s="29"/>
    </row>
    <row r="36" spans="1:26" ht="17.45">
      <c r="A36" s="671"/>
      <c r="B36" s="677"/>
      <c r="C36" s="44" t="s">
        <v>48</v>
      </c>
      <c r="D36" s="39" t="s">
        <v>47</v>
      </c>
      <c r="E36" s="39"/>
      <c r="F36" s="40"/>
      <c r="G36" s="60"/>
      <c r="H36" s="680"/>
      <c r="I36" s="25">
        <v>0.95</v>
      </c>
      <c r="J36" s="29"/>
      <c r="K36" s="29"/>
      <c r="L36" s="29">
        <v>0.49</v>
      </c>
      <c r="M36" s="29"/>
      <c r="N36" s="29"/>
      <c r="O36" s="29"/>
      <c r="P36" s="29"/>
      <c r="Q36" s="29"/>
      <c r="R36" s="29"/>
      <c r="S36" s="29"/>
      <c r="T36" s="29"/>
      <c r="U36" s="29"/>
      <c r="V36" s="29"/>
      <c r="W36" s="29"/>
      <c r="X36" s="29"/>
      <c r="Y36" s="29"/>
      <c r="Z36" s="29"/>
    </row>
    <row r="37" spans="1:26" ht="17.45">
      <c r="A37" s="671"/>
      <c r="B37" s="678"/>
      <c r="C37" s="44" t="s">
        <v>54</v>
      </c>
      <c r="D37" s="39" t="s">
        <v>47</v>
      </c>
      <c r="E37" s="39"/>
      <c r="F37" s="40"/>
      <c r="G37" s="60"/>
      <c r="H37" s="680"/>
      <c r="I37" s="25">
        <v>0.95</v>
      </c>
      <c r="J37" s="29"/>
      <c r="K37" s="29"/>
      <c r="L37" s="29">
        <v>0.5</v>
      </c>
      <c r="M37" s="29"/>
      <c r="N37" s="29"/>
      <c r="O37" s="29"/>
      <c r="P37" s="29"/>
      <c r="Q37" s="29"/>
      <c r="R37" s="29"/>
      <c r="S37" s="29"/>
      <c r="T37" s="29"/>
      <c r="U37" s="29"/>
      <c r="V37" s="29"/>
      <c r="W37" s="29"/>
      <c r="X37" s="29"/>
      <c r="Y37" s="29"/>
      <c r="Z37" s="29"/>
    </row>
    <row r="38" spans="1:26" ht="17.45">
      <c r="A38" s="671"/>
      <c r="B38" s="676" t="s">
        <v>55</v>
      </c>
      <c r="C38" s="44" t="s">
        <v>56</v>
      </c>
      <c r="D38" s="38" t="s">
        <v>57</v>
      </c>
      <c r="E38" s="38"/>
      <c r="F38" s="40" t="s">
        <v>21</v>
      </c>
      <c r="G38" s="59" t="s">
        <v>58</v>
      </c>
      <c r="H38" s="681"/>
      <c r="I38" s="25">
        <v>0.95</v>
      </c>
      <c r="J38" s="29"/>
      <c r="K38" s="29"/>
      <c r="L38" s="29">
        <v>0.68</v>
      </c>
      <c r="M38" s="29"/>
      <c r="N38" s="29"/>
      <c r="O38" s="29"/>
      <c r="P38" s="29"/>
      <c r="Q38" s="29"/>
      <c r="R38" s="29"/>
      <c r="S38" s="29"/>
      <c r="T38" s="29"/>
      <c r="U38" s="29"/>
      <c r="V38" s="29"/>
      <c r="W38" s="29"/>
      <c r="X38" s="29"/>
      <c r="Y38" s="29"/>
      <c r="Z38" s="29"/>
    </row>
    <row r="39" spans="1:26" ht="17.45">
      <c r="A39" s="671"/>
      <c r="B39" s="677"/>
      <c r="C39" s="44" t="s">
        <v>59</v>
      </c>
      <c r="D39" s="38" t="s">
        <v>57</v>
      </c>
      <c r="E39" s="38"/>
      <c r="F39" s="40"/>
      <c r="G39" s="60"/>
      <c r="H39" s="682"/>
      <c r="I39" s="25">
        <v>0.95</v>
      </c>
      <c r="J39" s="29"/>
      <c r="K39" s="29"/>
      <c r="L39" s="29">
        <v>0.5</v>
      </c>
      <c r="M39" s="29"/>
      <c r="N39" s="29"/>
      <c r="O39" s="29"/>
      <c r="P39" s="29"/>
      <c r="Q39" s="29"/>
      <c r="R39" s="29"/>
      <c r="S39" s="29"/>
      <c r="T39" s="29"/>
      <c r="U39" s="29"/>
      <c r="V39" s="29"/>
      <c r="W39" s="29"/>
      <c r="X39" s="29"/>
      <c r="Y39" s="29"/>
      <c r="Z39" s="29"/>
    </row>
    <row r="40" spans="1:26" ht="17.45">
      <c r="A40" s="671"/>
      <c r="B40" s="676" t="s">
        <v>60</v>
      </c>
      <c r="C40" s="44" t="s">
        <v>61</v>
      </c>
      <c r="D40" s="38" t="s">
        <v>57</v>
      </c>
      <c r="E40" s="38"/>
      <c r="F40" s="40" t="s">
        <v>21</v>
      </c>
      <c r="G40" s="59" t="s">
        <v>62</v>
      </c>
      <c r="H40" s="679" t="s">
        <v>19</v>
      </c>
      <c r="I40" s="25">
        <v>0.95</v>
      </c>
      <c r="J40" s="29"/>
      <c r="K40" s="29"/>
      <c r="L40" s="29">
        <v>0.45850000000000002</v>
      </c>
      <c r="M40" s="29"/>
      <c r="N40" s="29"/>
      <c r="O40" s="29"/>
      <c r="P40" s="29"/>
      <c r="Q40" s="29"/>
      <c r="R40" s="29"/>
      <c r="S40" s="29"/>
      <c r="T40" s="29"/>
      <c r="U40" s="29"/>
      <c r="V40" s="29"/>
      <c r="W40" s="29"/>
      <c r="X40" s="29"/>
      <c r="Y40" s="29"/>
      <c r="Z40" s="29"/>
    </row>
    <row r="41" spans="1:26" ht="17.45">
      <c r="A41" s="671"/>
      <c r="B41" s="678"/>
      <c r="C41" s="44" t="s">
        <v>63</v>
      </c>
      <c r="D41" s="38" t="s">
        <v>57</v>
      </c>
      <c r="E41" s="38"/>
      <c r="F41" s="40"/>
      <c r="G41" s="60"/>
      <c r="H41" s="680"/>
      <c r="I41" s="25">
        <v>0.95</v>
      </c>
      <c r="J41" s="29"/>
      <c r="K41" s="29"/>
      <c r="L41" s="29">
        <v>0.51149999999999995</v>
      </c>
      <c r="M41" s="29"/>
      <c r="N41" s="29"/>
      <c r="O41" s="29"/>
      <c r="P41" s="29"/>
      <c r="Q41" s="29"/>
      <c r="R41" s="29"/>
      <c r="S41" s="29"/>
      <c r="T41" s="29"/>
      <c r="U41" s="29"/>
      <c r="V41" s="29"/>
      <c r="W41" s="29"/>
      <c r="X41" s="29"/>
      <c r="Y41" s="29"/>
      <c r="Z41" s="29"/>
    </row>
    <row r="42" spans="1:26" ht="17.45">
      <c r="A42" s="671"/>
      <c r="B42" s="677" t="s">
        <v>64</v>
      </c>
      <c r="C42" s="44" t="s">
        <v>65</v>
      </c>
      <c r="D42" s="39" t="s">
        <v>47</v>
      </c>
      <c r="E42" s="39"/>
      <c r="F42" s="40" t="s">
        <v>18</v>
      </c>
      <c r="G42" s="78" t="s">
        <v>58</v>
      </c>
      <c r="H42" s="77"/>
      <c r="I42" s="79">
        <v>0.95</v>
      </c>
      <c r="J42" s="29"/>
      <c r="K42" s="29"/>
      <c r="L42" s="29">
        <v>0.74</v>
      </c>
      <c r="M42" s="29"/>
      <c r="N42" s="29"/>
      <c r="O42" s="29"/>
      <c r="P42" s="29"/>
      <c r="Q42" s="29"/>
      <c r="R42" s="29"/>
      <c r="S42" s="29"/>
      <c r="T42" s="29"/>
      <c r="U42" s="29"/>
      <c r="V42" s="29"/>
      <c r="W42" s="29"/>
      <c r="X42" s="29"/>
      <c r="Y42" s="29"/>
      <c r="Z42" s="29"/>
    </row>
    <row r="43" spans="1:26" ht="17.45">
      <c r="A43" s="671"/>
      <c r="B43" s="677"/>
      <c r="C43" s="44" t="s">
        <v>66</v>
      </c>
      <c r="D43" s="39" t="s">
        <v>47</v>
      </c>
      <c r="E43" s="39"/>
      <c r="F43" s="40" t="s">
        <v>18</v>
      </c>
      <c r="G43" s="60" t="s">
        <v>67</v>
      </c>
      <c r="H43" s="680" t="s">
        <v>19</v>
      </c>
      <c r="I43" s="25">
        <v>0.95</v>
      </c>
      <c r="J43" s="29"/>
      <c r="K43" s="29"/>
      <c r="L43" s="29">
        <v>0.28999999999999998</v>
      </c>
      <c r="M43" s="29"/>
      <c r="N43" s="29"/>
      <c r="O43" s="29"/>
      <c r="P43" s="29"/>
      <c r="Q43" s="29"/>
      <c r="R43" s="29"/>
      <c r="S43" s="29"/>
      <c r="T43" s="29"/>
      <c r="U43" s="29"/>
      <c r="V43" s="29"/>
      <c r="W43" s="29"/>
      <c r="X43" s="29"/>
      <c r="Y43" s="29"/>
      <c r="Z43" s="29"/>
    </row>
    <row r="44" spans="1:26" ht="17.45">
      <c r="A44" s="671"/>
      <c r="B44" s="677"/>
      <c r="C44" s="44" t="s">
        <v>68</v>
      </c>
      <c r="D44" s="39" t="s">
        <v>47</v>
      </c>
      <c r="E44" s="39"/>
      <c r="F44" s="40" t="s">
        <v>18</v>
      </c>
      <c r="G44" s="60"/>
      <c r="H44" s="680"/>
      <c r="I44" s="25">
        <v>0.95</v>
      </c>
      <c r="J44" s="29"/>
      <c r="K44" s="29"/>
      <c r="L44" s="29">
        <v>0.27</v>
      </c>
      <c r="M44" s="29"/>
      <c r="N44" s="29"/>
      <c r="O44" s="29"/>
      <c r="P44" s="29"/>
      <c r="Q44" s="29"/>
      <c r="R44" s="29"/>
      <c r="S44" s="29"/>
      <c r="T44" s="29"/>
      <c r="U44" s="29"/>
      <c r="V44" s="29"/>
      <c r="W44" s="29"/>
      <c r="X44" s="29"/>
      <c r="Y44" s="29"/>
      <c r="Z44" s="29"/>
    </row>
    <row r="45" spans="1:26" ht="17.45">
      <c r="A45" s="671"/>
      <c r="B45" s="678"/>
      <c r="C45" s="44" t="s">
        <v>69</v>
      </c>
      <c r="D45" s="39" t="s">
        <v>47</v>
      </c>
      <c r="E45" s="39"/>
      <c r="F45" s="40" t="s">
        <v>18</v>
      </c>
      <c r="G45" s="61"/>
      <c r="H45" s="683"/>
      <c r="I45" s="25">
        <v>0.95</v>
      </c>
      <c r="J45" s="29"/>
      <c r="K45" s="29"/>
      <c r="L45" s="29">
        <v>0.03</v>
      </c>
      <c r="M45" s="29"/>
      <c r="N45" s="29"/>
      <c r="O45" s="29"/>
      <c r="P45" s="29"/>
      <c r="Q45" s="29"/>
      <c r="R45" s="29"/>
      <c r="S45" s="29"/>
      <c r="T45" s="29"/>
      <c r="U45" s="29"/>
      <c r="V45" s="29"/>
      <c r="W45" s="29"/>
      <c r="X45" s="29"/>
      <c r="Y45" s="29"/>
      <c r="Z45" s="29"/>
    </row>
    <row r="46" spans="1:26" ht="17.45">
      <c r="M46" s="19" t="s">
        <v>70</v>
      </c>
      <c r="P46" s="19" t="s">
        <v>71</v>
      </c>
      <c r="S46" s="19" t="s">
        <v>72</v>
      </c>
    </row>
    <row r="47" spans="1:26" ht="16.5" customHeight="1">
      <c r="J47" s="31"/>
      <c r="K47" s="32"/>
      <c r="L47" s="80" t="s">
        <v>73</v>
      </c>
      <c r="M47" s="81"/>
      <c r="N47" s="81"/>
      <c r="O47" s="81"/>
    </row>
    <row r="48" spans="1:26" ht="16.5" hidden="1" customHeight="1">
      <c r="B48" t="s">
        <v>74</v>
      </c>
      <c r="L48" s="81"/>
      <c r="M48" s="81"/>
      <c r="N48" s="81"/>
      <c r="O48" s="81"/>
    </row>
    <row r="49" spans="2:15" ht="16.5" hidden="1" customHeight="1">
      <c r="B49" t="s">
        <v>75</v>
      </c>
      <c r="L49" s="81"/>
      <c r="M49" s="81"/>
      <c r="N49" s="81"/>
      <c r="O49" s="81"/>
    </row>
    <row r="50" spans="2:15" ht="16.5" hidden="1" customHeight="1">
      <c r="B50" t="s">
        <v>76</v>
      </c>
      <c r="L50" s="81"/>
      <c r="M50" s="81"/>
      <c r="N50" s="81"/>
      <c r="O50" s="81"/>
    </row>
    <row r="51" spans="2:15" ht="16.5" hidden="1" customHeight="1">
      <c r="B51" t="s">
        <v>77</v>
      </c>
      <c r="L51" s="81"/>
      <c r="M51" s="81"/>
      <c r="N51" s="81"/>
      <c r="O51" s="81"/>
    </row>
    <row r="52" spans="2:15" ht="16.5" hidden="1" customHeight="1">
      <c r="B52">
        <v>1</v>
      </c>
      <c r="D52" t="s">
        <v>78</v>
      </c>
      <c r="L52" s="81"/>
      <c r="M52" s="81"/>
      <c r="N52" s="81"/>
      <c r="O52" s="81"/>
    </row>
    <row r="53" spans="2:15" ht="16.5" hidden="1" customHeight="1">
      <c r="B53" t="s">
        <v>79</v>
      </c>
      <c r="L53" s="81"/>
      <c r="M53" s="81"/>
      <c r="N53" s="81"/>
      <c r="O53" s="81"/>
    </row>
    <row r="54" spans="2:15" ht="16.5" hidden="1" customHeight="1">
      <c r="B54" t="s">
        <v>80</v>
      </c>
      <c r="L54" s="81"/>
      <c r="M54" s="81"/>
      <c r="N54" s="81"/>
      <c r="O54" s="81"/>
    </row>
    <row r="55" spans="2:15" ht="16.5" hidden="1" customHeight="1">
      <c r="B55" t="s">
        <v>81</v>
      </c>
      <c r="L55" s="81"/>
      <c r="M55" s="81"/>
      <c r="N55" s="81"/>
      <c r="O55" s="81"/>
    </row>
    <row r="56" spans="2:15" ht="16.5" hidden="1" customHeight="1">
      <c r="B56" t="s">
        <v>76</v>
      </c>
      <c r="L56" s="81"/>
      <c r="M56" s="81"/>
      <c r="N56" s="81"/>
      <c r="O56" s="81"/>
    </row>
    <row r="57" spans="2:15" ht="16.5" hidden="1" customHeight="1">
      <c r="B57" t="s">
        <v>82</v>
      </c>
      <c r="L57" s="81"/>
      <c r="M57" s="81"/>
      <c r="N57" s="81"/>
      <c r="O57" s="81"/>
    </row>
    <row r="58" spans="2:15" ht="16.5" hidden="1" customHeight="1">
      <c r="B58" t="s">
        <v>83</v>
      </c>
      <c r="L58" s="81"/>
      <c r="M58" s="81"/>
      <c r="N58" s="81"/>
      <c r="O58" s="81"/>
    </row>
    <row r="59" spans="2:15" ht="16.5" hidden="1" customHeight="1">
      <c r="B59" t="s">
        <v>84</v>
      </c>
      <c r="L59" s="81"/>
      <c r="M59" s="81"/>
      <c r="N59" s="81"/>
      <c r="O59" s="81"/>
    </row>
    <row r="60" spans="2:15" ht="16.5" hidden="1" customHeight="1">
      <c r="B60" t="s">
        <v>85</v>
      </c>
      <c r="L60" s="81"/>
      <c r="M60" s="81"/>
      <c r="N60" s="81"/>
      <c r="O60" s="81"/>
    </row>
    <row r="61" spans="2:15" ht="16.5" hidden="1" customHeight="1">
      <c r="B61" t="s">
        <v>86</v>
      </c>
      <c r="L61" s="81"/>
      <c r="M61" s="81"/>
      <c r="N61" s="81"/>
      <c r="O61" s="81"/>
    </row>
    <row r="62" spans="2:15" ht="16.5" customHeight="1">
      <c r="B62" t="s">
        <v>76</v>
      </c>
      <c r="L62" s="81"/>
      <c r="M62" s="81"/>
      <c r="N62" s="81"/>
      <c r="O62" s="81"/>
    </row>
    <row r="63" spans="2:15" ht="16.5" customHeight="1">
      <c r="B63" t="s">
        <v>87</v>
      </c>
    </row>
    <row r="84" spans="9:12" ht="16.5" customHeight="1">
      <c r="I84" s="80" t="s">
        <v>88</v>
      </c>
      <c r="J84" s="81"/>
      <c r="K84" s="81"/>
      <c r="L84" s="81"/>
    </row>
  </sheetData>
  <mergeCells count="39">
    <mergeCell ref="D10:D11"/>
    <mergeCell ref="H10:H11"/>
    <mergeCell ref="B12:B13"/>
    <mergeCell ref="B18:B19"/>
    <mergeCell ref="D18:D19"/>
    <mergeCell ref="H18:H19"/>
    <mergeCell ref="D16:D17"/>
    <mergeCell ref="H16:H17"/>
    <mergeCell ref="Q2:S2"/>
    <mergeCell ref="A4:B4"/>
    <mergeCell ref="A5:B5"/>
    <mergeCell ref="A7:A22"/>
    <mergeCell ref="B7:B9"/>
    <mergeCell ref="D7:D9"/>
    <mergeCell ref="H7:H9"/>
    <mergeCell ref="B10:B11"/>
    <mergeCell ref="B14:B15"/>
    <mergeCell ref="D14:D15"/>
    <mergeCell ref="H14:H15"/>
    <mergeCell ref="J2:M2"/>
    <mergeCell ref="N2:P2"/>
    <mergeCell ref="D12:D13"/>
    <mergeCell ref="H12:H13"/>
    <mergeCell ref="B16:B17"/>
    <mergeCell ref="A23:A45"/>
    <mergeCell ref="B28:B29"/>
    <mergeCell ref="H28:H29"/>
    <mergeCell ref="B30:B31"/>
    <mergeCell ref="H30:H31"/>
    <mergeCell ref="B32:B33"/>
    <mergeCell ref="H32:H33"/>
    <mergeCell ref="B34:B37"/>
    <mergeCell ref="H35:H37"/>
    <mergeCell ref="B38:B39"/>
    <mergeCell ref="H38:H39"/>
    <mergeCell ref="B40:B41"/>
    <mergeCell ref="H40:H41"/>
    <mergeCell ref="B42:B45"/>
    <mergeCell ref="H43:H45"/>
  </mergeCells>
  <phoneticPr fontId="2" type="noConversion"/>
  <hyperlinks>
    <hyperlink ref="D10" r:id="rId1" xr:uid="{688D6F0E-8D84-49DD-AFEA-74FAE711EC98}"/>
    <hyperlink ref="D12" r:id="rId2" xr:uid="{24BD4A3D-4E1E-4499-9E57-99C0C40B83EB}"/>
    <hyperlink ref="D14" r:id="rId3" xr:uid="{2A993D88-3E7A-4EDA-AEB8-4F2C4B7CACA9}"/>
    <hyperlink ref="D16" r:id="rId4" xr:uid="{AD4A4332-2178-413C-AB19-956296278611}"/>
    <hyperlink ref="D18" r:id="rId5" xr:uid="{F33E159D-942D-4F64-94EE-330D3916C8CD}"/>
    <hyperlink ref="D7" r:id="rId6" xr:uid="{1A5D6F25-0CB0-480F-8B26-DEC3755C9529}"/>
    <hyperlink ref="D45" r:id="rId7" xr:uid="{DA29D410-F502-465B-AC4C-176A1266E55F}"/>
    <hyperlink ref="D28" r:id="rId8" xr:uid="{588D4C3D-DE51-4D0A-A666-4EE877C688B2}"/>
    <hyperlink ref="D30" r:id="rId9" xr:uid="{03EDC397-0419-4023-A3D7-FB33D2824B1A}"/>
    <hyperlink ref="D32" r:id="rId10" xr:uid="{1FF1C9B8-A170-45F7-A267-721EF2DB9C3E}"/>
    <hyperlink ref="H7" r:id="rId11" xr:uid="{0160F373-23C2-4375-ABB3-2B480CA2A601}"/>
    <hyperlink ref="H18" r:id="rId12" xr:uid="{8799BCB5-AC92-4BA3-9C0B-4BB0C44336F8}"/>
    <hyperlink ref="H14" r:id="rId13" xr:uid="{824783C9-0B3A-43FC-8B92-15C5721EB0A2}"/>
    <hyperlink ref="H12" r:id="rId14" xr:uid="{1878977C-637A-41D4-B93E-4C2ECF3D168F}"/>
    <hyperlink ref="H16" r:id="rId15" xr:uid="{08301A26-57D0-4861-9CD8-CA6EE80DCFBE}"/>
    <hyperlink ref="D44" r:id="rId16" xr:uid="{6E5DBF9F-2697-4857-AB67-6320628E7564}"/>
    <hyperlink ref="D43" r:id="rId17" xr:uid="{B5C73E2F-95A2-4C38-BB06-9C05E8621DF7}"/>
    <hyperlink ref="D42" r:id="rId18" xr:uid="{A242CB96-15BA-4B39-A225-5F7F801FE51B}"/>
    <hyperlink ref="D34" r:id="rId19" xr:uid="{B7DE487F-C4C6-4B01-8F4F-526ECB1A10EC}"/>
    <hyperlink ref="D35:D37" r:id="rId20" display="후처리요약_공통" xr:uid="{F52B336A-863F-446B-92B9-8C96D108B461}"/>
    <hyperlink ref="H40:H41" r:id="rId21" display="결과서" xr:uid="{2A98F45E-BB19-4A7A-8F18-D23B5BC87327}"/>
    <hyperlink ref="H35:H37" r:id="rId22" display="결과서" xr:uid="{03B3F2EC-48FA-4267-9104-1C80736BCB2A}"/>
    <hyperlink ref="H34" r:id="rId23" xr:uid="{3BB9C631-8B35-4881-ADC2-7ADC107F5F4C}"/>
  </hyperlinks>
  <pageMargins left="0.7" right="0.7" top="0.75" bottom="0.75" header="0.3" footer="0.3"/>
  <drawing r:id="rId24"/>
  <legacyDrawing r:id="rId2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96FF1-BD59-48D6-9388-2EF207144D4E}">
  <sheetPr>
    <tabColor rgb="FFFF0000"/>
  </sheetPr>
  <dimension ref="A1:Z77"/>
  <sheetViews>
    <sheetView workbookViewId="0">
      <pane ySplit="13" topLeftCell="A14" activePane="bottomLeft" state="frozen"/>
      <selection pane="bottomLeft" activeCell="L9" sqref="L9"/>
    </sheetView>
  </sheetViews>
  <sheetFormatPr defaultColWidth="9" defaultRowHeight="16.5" customHeight="1"/>
  <cols>
    <col min="1" max="1" width="9.75" bestFit="1" customWidth="1"/>
    <col min="2" max="2" width="14.375" customWidth="1"/>
    <col min="3" max="3" width="11.625" bestFit="1" customWidth="1"/>
    <col min="4" max="4" width="14" hidden="1" customWidth="1"/>
    <col min="5" max="5" width="9" hidden="1" customWidth="1"/>
    <col min="6" max="7" width="17.25" hidden="1" customWidth="1"/>
    <col min="8" max="8" width="8.25" hidden="1" customWidth="1"/>
    <col min="9" max="9" width="9" hidden="1" customWidth="1"/>
    <col min="10" max="26" width="10.625" customWidth="1"/>
  </cols>
  <sheetData>
    <row r="1" spans="1:26" ht="16.5" customHeight="1">
      <c r="K1" s="32"/>
      <c r="N1" s="63"/>
      <c r="O1" s="63"/>
      <c r="P1" s="63"/>
      <c r="Q1" s="63"/>
    </row>
    <row r="2" spans="1:26" ht="17.45">
      <c r="A2" s="23"/>
      <c r="B2" s="23"/>
      <c r="C2" s="715" t="s">
        <v>89</v>
      </c>
      <c r="D2" s="715"/>
      <c r="E2" s="715"/>
      <c r="F2" s="715"/>
      <c r="G2" s="715"/>
      <c r="H2" s="715"/>
      <c r="I2" s="715"/>
      <c r="J2" s="709" t="s">
        <v>0</v>
      </c>
      <c r="K2" s="709"/>
      <c r="L2" s="709"/>
      <c r="M2" s="709"/>
      <c r="N2" s="703" t="s">
        <v>1</v>
      </c>
      <c r="O2" s="703"/>
      <c r="P2" s="703"/>
      <c r="Q2" s="702" t="s">
        <v>2</v>
      </c>
      <c r="R2" s="702"/>
      <c r="S2" s="702"/>
      <c r="T2" s="23"/>
      <c r="U2" s="23"/>
      <c r="V2" s="23"/>
      <c r="W2" s="23"/>
      <c r="X2" s="23"/>
      <c r="Y2" s="23"/>
      <c r="Z2" s="23"/>
    </row>
    <row r="3" spans="1:26" ht="17.45">
      <c r="A3" s="22" t="s">
        <v>3</v>
      </c>
      <c r="B3" s="22" t="s">
        <v>4</v>
      </c>
      <c r="C3" s="160" t="s">
        <v>5</v>
      </c>
      <c r="D3" s="160" t="s">
        <v>6</v>
      </c>
      <c r="E3" s="160"/>
      <c r="F3" s="160" t="s">
        <v>7</v>
      </c>
      <c r="G3" s="160" t="s">
        <v>8</v>
      </c>
      <c r="H3" s="160" t="s">
        <v>9</v>
      </c>
      <c r="I3" s="161" t="s">
        <v>10</v>
      </c>
      <c r="J3" s="162">
        <v>46034</v>
      </c>
      <c r="K3" s="162">
        <v>46041</v>
      </c>
      <c r="L3" s="163">
        <v>46048</v>
      </c>
      <c r="M3" s="163">
        <v>46055</v>
      </c>
      <c r="N3" s="163">
        <v>46062</v>
      </c>
      <c r="O3" s="163">
        <v>46069</v>
      </c>
      <c r="P3" s="163">
        <v>46076</v>
      </c>
      <c r="Q3" s="163">
        <v>46083</v>
      </c>
      <c r="R3" s="163">
        <v>46090</v>
      </c>
      <c r="S3" s="163">
        <v>46097</v>
      </c>
      <c r="T3" s="88">
        <v>46104</v>
      </c>
      <c r="U3" s="88">
        <v>46111</v>
      </c>
      <c r="V3" s="88">
        <v>46118</v>
      </c>
      <c r="W3" s="88">
        <v>46125</v>
      </c>
      <c r="X3" s="88">
        <v>46132</v>
      </c>
      <c r="Y3" s="88">
        <v>46139</v>
      </c>
      <c r="Z3" s="88">
        <v>46146</v>
      </c>
    </row>
    <row r="4" spans="1:26" ht="17.100000000000001" hidden="1" customHeight="1">
      <c r="A4" s="685" t="s">
        <v>11</v>
      </c>
      <c r="B4" s="685"/>
      <c r="C4" s="20"/>
      <c r="D4" s="20"/>
      <c r="E4" s="20"/>
      <c r="F4" s="20"/>
      <c r="G4" s="20"/>
      <c r="H4" s="20"/>
      <c r="I4" s="24">
        <v>0.95</v>
      </c>
      <c r="J4" s="24" t="s">
        <v>12</v>
      </c>
      <c r="K4" s="64">
        <f>AVERAGE(K16,K18,K20,K22,K24,K26)</f>
        <v>0.53333333333333333</v>
      </c>
      <c r="L4" s="64">
        <f>AVERAGE(L16,L18,L20,L22,L24,L26)</f>
        <v>0.7403333333333334</v>
      </c>
      <c r="M4" s="64" t="e">
        <f t="shared" ref="M4:Z4" si="0">AVERAGE(M16,M18,M20,M22,M24,M26)</f>
        <v>#DIV/0!</v>
      </c>
      <c r="N4" s="64" t="e">
        <f t="shared" si="0"/>
        <v>#DIV/0!</v>
      </c>
      <c r="O4" s="64" t="e">
        <f t="shared" si="0"/>
        <v>#DIV/0!</v>
      </c>
      <c r="P4" s="64" t="e">
        <f t="shared" si="0"/>
        <v>#DIV/0!</v>
      </c>
      <c r="Q4" s="64" t="e">
        <f t="shared" si="0"/>
        <v>#DIV/0!</v>
      </c>
      <c r="R4" s="64" t="e">
        <f t="shared" si="0"/>
        <v>#DIV/0!</v>
      </c>
      <c r="S4" s="64" t="e">
        <f t="shared" si="0"/>
        <v>#DIV/0!</v>
      </c>
      <c r="T4" s="64" t="e">
        <f t="shared" si="0"/>
        <v>#DIV/0!</v>
      </c>
      <c r="U4" s="64" t="e">
        <f t="shared" si="0"/>
        <v>#DIV/0!</v>
      </c>
      <c r="V4" s="64" t="e">
        <f t="shared" si="0"/>
        <v>#DIV/0!</v>
      </c>
      <c r="W4" s="64" t="e">
        <f t="shared" si="0"/>
        <v>#DIV/0!</v>
      </c>
      <c r="X4" s="64" t="e">
        <f t="shared" si="0"/>
        <v>#DIV/0!</v>
      </c>
      <c r="Y4" s="64" t="e">
        <f t="shared" si="0"/>
        <v>#DIV/0!</v>
      </c>
      <c r="Z4" s="64" t="e">
        <f t="shared" si="0"/>
        <v>#DIV/0!</v>
      </c>
    </row>
    <row r="5" spans="1:26" ht="17.100000000000001" hidden="1" customHeight="1">
      <c r="A5" s="685" t="s">
        <v>13</v>
      </c>
      <c r="B5" s="685"/>
      <c r="C5" s="20"/>
      <c r="D5" s="20"/>
      <c r="E5" s="20"/>
      <c r="F5" s="20"/>
      <c r="G5" s="20"/>
      <c r="H5" s="20"/>
      <c r="I5" s="24">
        <v>0.95</v>
      </c>
      <c r="J5" s="24" t="s">
        <v>12</v>
      </c>
      <c r="K5" s="64" t="e">
        <f>AVERAGE(K27:K34)</f>
        <v>#DIV/0!</v>
      </c>
      <c r="L5" s="64">
        <f>AVERAGE(L27:L34)</f>
        <v>0.50250000000000006</v>
      </c>
      <c r="M5" s="64" t="e">
        <f t="shared" ref="M5:Z5" si="1">AVERAGE(M27:M34)</f>
        <v>#DIV/0!</v>
      </c>
      <c r="N5" s="64" t="e">
        <f t="shared" si="1"/>
        <v>#DIV/0!</v>
      </c>
      <c r="O5" s="64" t="e">
        <f t="shared" si="1"/>
        <v>#DIV/0!</v>
      </c>
      <c r="P5" s="64" t="e">
        <f t="shared" si="1"/>
        <v>#DIV/0!</v>
      </c>
      <c r="Q5" s="64" t="e">
        <f t="shared" si="1"/>
        <v>#DIV/0!</v>
      </c>
      <c r="R5" s="64" t="e">
        <f t="shared" si="1"/>
        <v>#DIV/0!</v>
      </c>
      <c r="S5" s="64" t="e">
        <f t="shared" si="1"/>
        <v>#DIV/0!</v>
      </c>
      <c r="T5" s="64" t="e">
        <f t="shared" si="1"/>
        <v>#DIV/0!</v>
      </c>
      <c r="U5" s="64" t="e">
        <f t="shared" si="1"/>
        <v>#DIV/0!</v>
      </c>
      <c r="V5" s="64" t="e">
        <f t="shared" si="1"/>
        <v>#DIV/0!</v>
      </c>
      <c r="W5" s="64" t="e">
        <f t="shared" si="1"/>
        <v>#DIV/0!</v>
      </c>
      <c r="X5" s="64" t="e">
        <f>AVERAGE(X27:X34)</f>
        <v>#DIV/0!</v>
      </c>
      <c r="Y5" s="64" t="e">
        <f t="shared" si="1"/>
        <v>#DIV/0!</v>
      </c>
      <c r="Z5" s="64" t="e">
        <f t="shared" si="1"/>
        <v>#DIV/0!</v>
      </c>
    </row>
    <row r="6" spans="1:26" ht="8.25" hidden="1" customHeight="1">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17.45">
      <c r="A7" s="716" t="s">
        <v>90</v>
      </c>
      <c r="B7" s="717"/>
      <c r="C7" s="138" t="s">
        <v>21</v>
      </c>
      <c r="D7" s="705" t="s">
        <v>17</v>
      </c>
      <c r="E7" s="164"/>
      <c r="F7" s="165" t="s">
        <v>18</v>
      </c>
      <c r="G7" s="166"/>
      <c r="H7" s="706" t="s">
        <v>19</v>
      </c>
      <c r="I7" s="167">
        <v>0.95</v>
      </c>
      <c r="J7" s="144"/>
      <c r="K7" s="145">
        <v>0.53</v>
      </c>
      <c r="L7" s="146">
        <v>0.74</v>
      </c>
      <c r="M7" s="157"/>
      <c r="N7" s="144"/>
      <c r="O7" s="145"/>
      <c r="P7" s="157"/>
      <c r="Q7" s="144"/>
      <c r="R7" s="145"/>
      <c r="S7" s="157"/>
      <c r="T7" s="144"/>
      <c r="U7" s="145"/>
      <c r="V7" s="145"/>
      <c r="W7" s="145"/>
      <c r="X7" s="145"/>
      <c r="Y7" s="145"/>
      <c r="Z7" s="147"/>
    </row>
    <row r="8" spans="1:26" ht="17.45">
      <c r="A8" s="718"/>
      <c r="B8" s="719"/>
      <c r="C8" s="139" t="s">
        <v>91</v>
      </c>
      <c r="D8" s="696"/>
      <c r="E8" s="84"/>
      <c r="F8" s="21" t="s">
        <v>21</v>
      </c>
      <c r="G8" s="56"/>
      <c r="H8" s="679"/>
      <c r="I8" s="121">
        <v>0.95</v>
      </c>
      <c r="J8" s="148"/>
      <c r="K8" s="141"/>
      <c r="L8" s="142">
        <v>0.59</v>
      </c>
      <c r="M8" s="158"/>
      <c r="N8" s="148"/>
      <c r="O8" s="141"/>
      <c r="P8" s="158"/>
      <c r="Q8" s="148"/>
      <c r="R8" s="141"/>
      <c r="S8" s="158"/>
      <c r="T8" s="148"/>
      <c r="U8" s="141"/>
      <c r="V8" s="141"/>
      <c r="W8" s="141"/>
      <c r="X8" s="141"/>
      <c r="Y8" s="141"/>
      <c r="Z8" s="149"/>
    </row>
    <row r="9" spans="1:26" ht="17.45">
      <c r="A9" s="720"/>
      <c r="B9" s="721"/>
      <c r="C9" s="172" t="s">
        <v>92</v>
      </c>
      <c r="D9" s="696"/>
      <c r="E9" s="84"/>
      <c r="F9" s="58" t="s">
        <v>21</v>
      </c>
      <c r="G9" s="56"/>
      <c r="H9" s="679"/>
      <c r="I9" s="154">
        <v>0.95</v>
      </c>
      <c r="J9" s="173"/>
      <c r="K9" s="143">
        <v>0.37</v>
      </c>
      <c r="L9" s="174">
        <v>0.57809999999999995</v>
      </c>
      <c r="M9" s="175"/>
      <c r="N9" s="173"/>
      <c r="O9" s="143"/>
      <c r="P9" s="175"/>
      <c r="Q9" s="173"/>
      <c r="R9" s="143"/>
      <c r="S9" s="175"/>
      <c r="T9" s="173"/>
      <c r="U9" s="143"/>
      <c r="V9" s="143"/>
      <c r="W9" s="143"/>
      <c r="X9" s="143"/>
      <c r="Y9" s="143"/>
      <c r="Z9" s="176"/>
    </row>
    <row r="10" spans="1:26" ht="17.45">
      <c r="A10" s="716" t="s">
        <v>93</v>
      </c>
      <c r="B10" s="717"/>
      <c r="C10" s="138" t="s">
        <v>21</v>
      </c>
      <c r="D10" s="705" t="s">
        <v>17</v>
      </c>
      <c r="E10" s="164"/>
      <c r="F10" s="165" t="s">
        <v>18</v>
      </c>
      <c r="G10" s="166"/>
      <c r="H10" s="706" t="s">
        <v>19</v>
      </c>
      <c r="I10" s="167">
        <v>0.95</v>
      </c>
      <c r="J10" s="144"/>
      <c r="K10" s="145"/>
      <c r="L10" s="145">
        <v>0.5</v>
      </c>
      <c r="M10" s="157"/>
      <c r="N10" s="144"/>
      <c r="O10" s="145"/>
      <c r="P10" s="157"/>
      <c r="Q10" s="144"/>
      <c r="R10" s="145"/>
      <c r="S10" s="157"/>
      <c r="T10" s="144"/>
      <c r="U10" s="145"/>
      <c r="V10" s="145"/>
      <c r="W10" s="145"/>
      <c r="X10" s="145"/>
      <c r="Y10" s="145"/>
      <c r="Z10" s="147"/>
    </row>
    <row r="11" spans="1:26" ht="17.45">
      <c r="A11" s="718"/>
      <c r="B11" s="719"/>
      <c r="C11" s="139" t="s">
        <v>91</v>
      </c>
      <c r="D11" s="696"/>
      <c r="E11" s="84"/>
      <c r="F11" s="21" t="s">
        <v>21</v>
      </c>
      <c r="G11" s="56"/>
      <c r="H11" s="679"/>
      <c r="I11" s="121">
        <v>0.95</v>
      </c>
      <c r="J11" s="148"/>
      <c r="K11" s="141"/>
      <c r="L11" s="141"/>
      <c r="M11" s="158"/>
      <c r="N11" s="148"/>
      <c r="O11" s="141"/>
      <c r="P11" s="158"/>
      <c r="Q11" s="148"/>
      <c r="R11" s="141"/>
      <c r="S11" s="158"/>
      <c r="T11" s="148"/>
      <c r="U11" s="141"/>
      <c r="V11" s="141"/>
      <c r="W11" s="141"/>
      <c r="X11" s="141"/>
      <c r="Y11" s="141"/>
      <c r="Z11" s="149"/>
    </row>
    <row r="12" spans="1:26" ht="17.45">
      <c r="A12" s="722"/>
      <c r="B12" s="723"/>
      <c r="C12" s="140" t="s">
        <v>92</v>
      </c>
      <c r="D12" s="707"/>
      <c r="E12" s="168"/>
      <c r="F12" s="169" t="s">
        <v>21</v>
      </c>
      <c r="G12" s="170"/>
      <c r="H12" s="708"/>
      <c r="I12" s="171">
        <v>0.95</v>
      </c>
      <c r="J12" s="150"/>
      <c r="K12" s="151"/>
      <c r="L12" s="152"/>
      <c r="M12" s="159"/>
      <c r="N12" s="150"/>
      <c r="O12" s="151"/>
      <c r="P12" s="159"/>
      <c r="Q12" s="150"/>
      <c r="R12" s="151"/>
      <c r="S12" s="159"/>
      <c r="T12" s="150"/>
      <c r="U12" s="151"/>
      <c r="V12" s="151"/>
      <c r="W12" s="151"/>
      <c r="X12" s="151"/>
      <c r="Y12" s="151"/>
      <c r="Z12" s="153"/>
    </row>
    <row r="13" spans="1:26" ht="10.5" customHeight="1">
      <c r="A13" s="23"/>
      <c r="B13" s="89"/>
      <c r="C13" s="90"/>
      <c r="D13" s="177"/>
      <c r="E13" s="177"/>
      <c r="F13" s="178"/>
      <c r="G13" s="178"/>
      <c r="H13" s="179"/>
      <c r="I13" s="180"/>
      <c r="J13" s="155"/>
      <c r="K13" s="155"/>
      <c r="L13" s="156"/>
      <c r="M13" s="155"/>
      <c r="N13" s="155"/>
      <c r="O13" s="155"/>
      <c r="P13" s="155"/>
      <c r="Q13" s="155"/>
      <c r="R13" s="155"/>
      <c r="S13" s="155"/>
      <c r="T13" s="155"/>
      <c r="U13" s="155"/>
      <c r="V13" s="155"/>
      <c r="W13" s="155"/>
      <c r="X13" s="155"/>
      <c r="Y13" s="155"/>
      <c r="Z13" s="155"/>
    </row>
    <row r="14" spans="1:26" ht="17.45">
      <c r="A14" s="713" t="s">
        <v>94</v>
      </c>
      <c r="B14" s="698" t="s">
        <v>15</v>
      </c>
      <c r="C14" s="124" t="s">
        <v>16</v>
      </c>
      <c r="D14" s="700" t="s">
        <v>17</v>
      </c>
      <c r="E14" s="84"/>
      <c r="F14" s="91" t="s">
        <v>18</v>
      </c>
      <c r="G14" s="92"/>
      <c r="H14" s="680" t="s">
        <v>19</v>
      </c>
      <c r="I14" s="120">
        <v>0.95</v>
      </c>
      <c r="J14" s="109"/>
      <c r="K14" s="110">
        <v>0.95</v>
      </c>
      <c r="L14" s="111">
        <v>0.94</v>
      </c>
      <c r="M14" s="134"/>
      <c r="N14" s="109"/>
      <c r="O14" s="110"/>
      <c r="P14" s="134"/>
      <c r="Q14" s="109"/>
      <c r="R14" s="110"/>
      <c r="S14" s="134"/>
      <c r="T14" s="109"/>
      <c r="U14" s="110"/>
      <c r="V14" s="110"/>
      <c r="W14" s="110"/>
      <c r="X14" s="110"/>
      <c r="Y14" s="110"/>
      <c r="Z14" s="112"/>
    </row>
    <row r="15" spans="1:26" ht="17.45">
      <c r="A15" s="714"/>
      <c r="B15" s="699"/>
      <c r="C15" s="125" t="s">
        <v>20</v>
      </c>
      <c r="D15" s="700"/>
      <c r="E15" s="84"/>
      <c r="F15" s="21" t="s">
        <v>21</v>
      </c>
      <c r="G15" s="56"/>
      <c r="H15" s="680"/>
      <c r="I15" s="121">
        <v>0.95</v>
      </c>
      <c r="J15" s="113"/>
      <c r="K15" s="29">
        <v>0.81</v>
      </c>
      <c r="L15" s="87">
        <v>0.91100000000000003</v>
      </c>
      <c r="M15" s="135"/>
      <c r="N15" s="113"/>
      <c r="O15" s="29"/>
      <c r="P15" s="135"/>
      <c r="Q15" s="113"/>
      <c r="R15" s="29"/>
      <c r="S15" s="135"/>
      <c r="T15" s="113"/>
      <c r="U15" s="29"/>
      <c r="V15" s="29"/>
      <c r="W15" s="29"/>
      <c r="X15" s="29"/>
      <c r="Y15" s="29"/>
      <c r="Z15" s="114"/>
    </row>
    <row r="16" spans="1:26" ht="17.45">
      <c r="A16" s="714"/>
      <c r="B16" s="699"/>
      <c r="C16" s="125" t="s">
        <v>22</v>
      </c>
      <c r="D16" s="700"/>
      <c r="E16" s="85"/>
      <c r="F16" s="21" t="s">
        <v>21</v>
      </c>
      <c r="G16" s="57"/>
      <c r="H16" s="680"/>
      <c r="I16" s="121">
        <v>0.95</v>
      </c>
      <c r="J16" s="113"/>
      <c r="K16" s="29">
        <v>0.62</v>
      </c>
      <c r="L16" s="87">
        <v>0.74299999999999999</v>
      </c>
      <c r="M16" s="135"/>
      <c r="N16" s="113"/>
      <c r="O16" s="29"/>
      <c r="P16" s="135"/>
      <c r="Q16" s="113"/>
      <c r="R16" s="29"/>
      <c r="S16" s="135"/>
      <c r="T16" s="113"/>
      <c r="U16" s="29"/>
      <c r="V16" s="29"/>
      <c r="W16" s="29"/>
      <c r="X16" s="29"/>
      <c r="Y16" s="29"/>
      <c r="Z16" s="114"/>
    </row>
    <row r="17" spans="1:26" ht="17.45">
      <c r="A17" s="714"/>
      <c r="B17" s="697" t="s">
        <v>23</v>
      </c>
      <c r="C17" s="126" t="s">
        <v>20</v>
      </c>
      <c r="D17" s="701" t="s">
        <v>24</v>
      </c>
      <c r="E17" s="94"/>
      <c r="F17" s="93" t="s">
        <v>21</v>
      </c>
      <c r="G17" s="95"/>
      <c r="H17" s="710"/>
      <c r="I17" s="122">
        <v>0.95</v>
      </c>
      <c r="J17" s="115"/>
      <c r="K17" s="96"/>
      <c r="L17" s="96"/>
      <c r="M17" s="136"/>
      <c r="N17" s="115"/>
      <c r="O17" s="96"/>
      <c r="P17" s="136"/>
      <c r="Q17" s="115"/>
      <c r="R17" s="96"/>
      <c r="S17" s="136"/>
      <c r="T17" s="115"/>
      <c r="U17" s="96"/>
      <c r="V17" s="96"/>
      <c r="W17" s="96"/>
      <c r="X17" s="96"/>
      <c r="Y17" s="96"/>
      <c r="Z17" s="116"/>
    </row>
    <row r="18" spans="1:26" ht="17.45">
      <c r="A18" s="714"/>
      <c r="B18" s="697"/>
      <c r="C18" s="126" t="s">
        <v>22</v>
      </c>
      <c r="D18" s="701"/>
      <c r="E18" s="97"/>
      <c r="F18" s="93" t="s">
        <v>21</v>
      </c>
      <c r="G18" s="98"/>
      <c r="H18" s="710"/>
      <c r="I18" s="122">
        <v>0.95</v>
      </c>
      <c r="J18" s="115"/>
      <c r="K18" s="96"/>
      <c r="L18" s="96"/>
      <c r="M18" s="136"/>
      <c r="N18" s="115"/>
      <c r="O18" s="96"/>
      <c r="P18" s="136"/>
      <c r="Q18" s="115"/>
      <c r="R18" s="96"/>
      <c r="S18" s="136"/>
      <c r="T18" s="115"/>
      <c r="U18" s="96"/>
      <c r="V18" s="96"/>
      <c r="W18" s="96"/>
      <c r="X18" s="96"/>
      <c r="Y18" s="96"/>
      <c r="Z18" s="116"/>
    </row>
    <row r="19" spans="1:26" ht="17.45">
      <c r="A19" s="714"/>
      <c r="B19" s="695" t="s">
        <v>25</v>
      </c>
      <c r="C19" s="125" t="s">
        <v>20</v>
      </c>
      <c r="D19" s="696" t="s">
        <v>26</v>
      </c>
      <c r="E19" s="83"/>
      <c r="F19" s="21" t="s">
        <v>21</v>
      </c>
      <c r="G19" s="58"/>
      <c r="H19" s="679" t="s">
        <v>19</v>
      </c>
      <c r="I19" s="121">
        <v>0.95</v>
      </c>
      <c r="J19" s="113"/>
      <c r="K19" s="29"/>
      <c r="L19" s="29"/>
      <c r="M19" s="135"/>
      <c r="N19" s="113"/>
      <c r="O19" s="29"/>
      <c r="P19" s="135"/>
      <c r="Q19" s="113"/>
      <c r="R19" s="29"/>
      <c r="S19" s="135"/>
      <c r="T19" s="113"/>
      <c r="U19" s="29"/>
      <c r="V19" s="29"/>
      <c r="W19" s="29"/>
      <c r="X19" s="29"/>
      <c r="Y19" s="29"/>
      <c r="Z19" s="114"/>
    </row>
    <row r="20" spans="1:26" ht="17.45">
      <c r="A20" s="714"/>
      <c r="B20" s="695"/>
      <c r="C20" s="125" t="s">
        <v>22</v>
      </c>
      <c r="D20" s="696"/>
      <c r="E20" s="85"/>
      <c r="F20" s="21" t="s">
        <v>21</v>
      </c>
      <c r="G20" s="57"/>
      <c r="H20" s="679"/>
      <c r="I20" s="121">
        <v>0.95</v>
      </c>
      <c r="J20" s="113"/>
      <c r="K20" s="29"/>
      <c r="L20" s="29"/>
      <c r="M20" s="135"/>
      <c r="N20" s="113"/>
      <c r="O20" s="29"/>
      <c r="P20" s="135"/>
      <c r="Q20" s="113"/>
      <c r="R20" s="29"/>
      <c r="S20" s="135"/>
      <c r="T20" s="113"/>
      <c r="U20" s="29"/>
      <c r="V20" s="29"/>
      <c r="W20" s="29"/>
      <c r="X20" s="29"/>
      <c r="Y20" s="29"/>
      <c r="Z20" s="114"/>
    </row>
    <row r="21" spans="1:26" ht="17.45">
      <c r="A21" s="714"/>
      <c r="B21" s="697" t="s">
        <v>27</v>
      </c>
      <c r="C21" s="126" t="s">
        <v>20</v>
      </c>
      <c r="D21" s="701" t="s">
        <v>28</v>
      </c>
      <c r="E21" s="94"/>
      <c r="F21" s="93" t="s">
        <v>21</v>
      </c>
      <c r="G21" s="95"/>
      <c r="H21" s="704" t="s">
        <v>19</v>
      </c>
      <c r="I21" s="122">
        <v>0.95</v>
      </c>
      <c r="J21" s="115"/>
      <c r="K21" s="96">
        <v>0.64</v>
      </c>
      <c r="L21" s="96">
        <v>0.68700000000000006</v>
      </c>
      <c r="M21" s="136"/>
      <c r="N21" s="115"/>
      <c r="O21" s="96"/>
      <c r="P21" s="136"/>
      <c r="Q21" s="115"/>
      <c r="R21" s="96"/>
      <c r="S21" s="136"/>
      <c r="T21" s="115"/>
      <c r="U21" s="96"/>
      <c r="V21" s="96"/>
      <c r="W21" s="96"/>
      <c r="X21" s="96"/>
      <c r="Y21" s="96"/>
      <c r="Z21" s="116"/>
    </row>
    <row r="22" spans="1:26" ht="17.45">
      <c r="A22" s="714"/>
      <c r="B22" s="697"/>
      <c r="C22" s="126" t="s">
        <v>22</v>
      </c>
      <c r="D22" s="701"/>
      <c r="E22" s="99"/>
      <c r="F22" s="93" t="s">
        <v>21</v>
      </c>
      <c r="G22" s="100"/>
      <c r="H22" s="704"/>
      <c r="I22" s="122">
        <v>0.95</v>
      </c>
      <c r="J22" s="115"/>
      <c r="K22" s="96">
        <v>0.52</v>
      </c>
      <c r="L22" s="96">
        <v>0.76700000000000002</v>
      </c>
      <c r="M22" s="136"/>
      <c r="N22" s="115"/>
      <c r="O22" s="96"/>
      <c r="P22" s="136"/>
      <c r="Q22" s="115"/>
      <c r="R22" s="96"/>
      <c r="S22" s="136"/>
      <c r="T22" s="115"/>
      <c r="U22" s="96"/>
      <c r="V22" s="96"/>
      <c r="W22" s="96"/>
      <c r="X22" s="96"/>
      <c r="Y22" s="96"/>
      <c r="Z22" s="116"/>
    </row>
    <row r="23" spans="1:26" ht="17.45">
      <c r="A23" s="714"/>
      <c r="B23" s="695" t="s">
        <v>29</v>
      </c>
      <c r="C23" s="125" t="s">
        <v>20</v>
      </c>
      <c r="D23" s="696" t="s">
        <v>30</v>
      </c>
      <c r="E23" s="83"/>
      <c r="F23" s="21" t="s">
        <v>21</v>
      </c>
      <c r="G23" s="58"/>
      <c r="H23" s="679" t="s">
        <v>19</v>
      </c>
      <c r="I23" s="121">
        <v>0.95</v>
      </c>
      <c r="J23" s="113"/>
      <c r="K23" s="29"/>
      <c r="L23" s="29"/>
      <c r="M23" s="135"/>
      <c r="N23" s="113"/>
      <c r="O23" s="29"/>
      <c r="P23" s="135"/>
      <c r="Q23" s="113"/>
      <c r="R23" s="29"/>
      <c r="S23" s="135"/>
      <c r="T23" s="113"/>
      <c r="U23" s="29"/>
      <c r="V23" s="29"/>
      <c r="W23" s="29"/>
      <c r="X23" s="29"/>
      <c r="Y23" s="29"/>
      <c r="Z23" s="114"/>
    </row>
    <row r="24" spans="1:26" ht="17.45">
      <c r="A24" s="714"/>
      <c r="B24" s="695"/>
      <c r="C24" s="125" t="s">
        <v>22</v>
      </c>
      <c r="D24" s="696"/>
      <c r="E24" s="85"/>
      <c r="F24" s="21" t="s">
        <v>21</v>
      </c>
      <c r="G24" s="57"/>
      <c r="H24" s="679"/>
      <c r="I24" s="121">
        <v>0.95</v>
      </c>
      <c r="J24" s="113"/>
      <c r="K24" s="29"/>
      <c r="L24" s="29"/>
      <c r="M24" s="135"/>
      <c r="N24" s="113"/>
      <c r="O24" s="29"/>
      <c r="P24" s="135"/>
      <c r="Q24" s="113"/>
      <c r="R24" s="29"/>
      <c r="S24" s="135"/>
      <c r="T24" s="113"/>
      <c r="U24" s="29"/>
      <c r="V24" s="29"/>
      <c r="W24" s="29"/>
      <c r="X24" s="29"/>
      <c r="Y24" s="29"/>
      <c r="Z24" s="114"/>
    </row>
    <row r="25" spans="1:26" ht="17.45">
      <c r="A25" s="714"/>
      <c r="B25" s="697" t="s">
        <v>31</v>
      </c>
      <c r="C25" s="126" t="s">
        <v>20</v>
      </c>
      <c r="D25" s="701" t="s">
        <v>32</v>
      </c>
      <c r="E25" s="94"/>
      <c r="F25" s="93" t="s">
        <v>21</v>
      </c>
      <c r="G25" s="95"/>
      <c r="H25" s="704" t="s">
        <v>19</v>
      </c>
      <c r="I25" s="122">
        <v>0.95</v>
      </c>
      <c r="J25" s="115"/>
      <c r="K25" s="96">
        <v>0.74</v>
      </c>
      <c r="L25" s="96">
        <v>0.82899999999999996</v>
      </c>
      <c r="M25" s="136"/>
      <c r="N25" s="115"/>
      <c r="O25" s="96"/>
      <c r="P25" s="136"/>
      <c r="Q25" s="115"/>
      <c r="R25" s="96"/>
      <c r="S25" s="136"/>
      <c r="T25" s="115"/>
      <c r="U25" s="96"/>
      <c r="V25" s="96"/>
      <c r="W25" s="96"/>
      <c r="X25" s="96"/>
      <c r="Y25" s="96"/>
      <c r="Z25" s="116"/>
    </row>
    <row r="26" spans="1:26" ht="17.45">
      <c r="A26" s="714"/>
      <c r="B26" s="697"/>
      <c r="C26" s="126" t="s">
        <v>22</v>
      </c>
      <c r="D26" s="701"/>
      <c r="E26" s="99"/>
      <c r="F26" s="93" t="s">
        <v>21</v>
      </c>
      <c r="G26" s="100"/>
      <c r="H26" s="704"/>
      <c r="I26" s="122">
        <v>0.95</v>
      </c>
      <c r="J26" s="115"/>
      <c r="K26" s="96">
        <v>0.46</v>
      </c>
      <c r="L26" s="96">
        <v>0.71099999999999997</v>
      </c>
      <c r="M26" s="136"/>
      <c r="N26" s="115"/>
      <c r="O26" s="96"/>
      <c r="P26" s="136"/>
      <c r="Q26" s="115"/>
      <c r="R26" s="96"/>
      <c r="S26" s="136"/>
      <c r="T26" s="115"/>
      <c r="U26" s="96"/>
      <c r="V26" s="96"/>
      <c r="W26" s="96"/>
      <c r="X26" s="96"/>
      <c r="Y26" s="96"/>
      <c r="Z26" s="116"/>
    </row>
    <row r="27" spans="1:26" ht="17.45">
      <c r="A27" s="711" t="s">
        <v>95</v>
      </c>
      <c r="B27" s="676" t="s">
        <v>51</v>
      </c>
      <c r="C27" s="127" t="s">
        <v>52</v>
      </c>
      <c r="D27" s="130" t="s">
        <v>47</v>
      </c>
      <c r="E27" s="39"/>
      <c r="F27" s="40" t="s">
        <v>21</v>
      </c>
      <c r="G27" s="59"/>
      <c r="H27" s="65" t="s">
        <v>19</v>
      </c>
      <c r="I27" s="121">
        <v>0.95</v>
      </c>
      <c r="J27" s="113"/>
      <c r="K27" s="29"/>
      <c r="L27" s="29">
        <v>0.4</v>
      </c>
      <c r="M27" s="135"/>
      <c r="N27" s="113"/>
      <c r="O27" s="29"/>
      <c r="P27" s="135"/>
      <c r="Q27" s="113"/>
      <c r="R27" s="29"/>
      <c r="S27" s="135"/>
      <c r="T27" s="113"/>
      <c r="U27" s="29"/>
      <c r="V27" s="29"/>
      <c r="W27" s="29"/>
      <c r="X27" s="29"/>
      <c r="Y27" s="29"/>
      <c r="Z27" s="114"/>
    </row>
    <row r="28" spans="1:26" ht="17.45">
      <c r="A28" s="711"/>
      <c r="B28" s="677"/>
      <c r="C28" s="127" t="s">
        <v>46</v>
      </c>
      <c r="D28" s="130" t="s">
        <v>47</v>
      </c>
      <c r="E28" s="39"/>
      <c r="F28" s="40"/>
      <c r="G28" s="60" t="s">
        <v>53</v>
      </c>
      <c r="H28" s="679" t="s">
        <v>19</v>
      </c>
      <c r="I28" s="121">
        <v>0.95</v>
      </c>
      <c r="J28" s="113"/>
      <c r="K28" s="29"/>
      <c r="L28" s="29">
        <v>0.48</v>
      </c>
      <c r="M28" s="135"/>
      <c r="N28" s="113"/>
      <c r="O28" s="29"/>
      <c r="P28" s="135"/>
      <c r="Q28" s="113"/>
      <c r="R28" s="29"/>
      <c r="S28" s="135"/>
      <c r="T28" s="113"/>
      <c r="U28" s="29"/>
      <c r="V28" s="29"/>
      <c r="W28" s="29"/>
      <c r="X28" s="29"/>
      <c r="Y28" s="29"/>
      <c r="Z28" s="114"/>
    </row>
    <row r="29" spans="1:26" ht="17.45">
      <c r="A29" s="711"/>
      <c r="B29" s="677"/>
      <c r="C29" s="127" t="s">
        <v>48</v>
      </c>
      <c r="D29" s="130" t="s">
        <v>47</v>
      </c>
      <c r="E29" s="39"/>
      <c r="F29" s="40"/>
      <c r="G29" s="60"/>
      <c r="H29" s="680"/>
      <c r="I29" s="121">
        <v>0.95</v>
      </c>
      <c r="J29" s="113"/>
      <c r="K29" s="29"/>
      <c r="L29" s="29">
        <v>0.49</v>
      </c>
      <c r="M29" s="135"/>
      <c r="N29" s="113"/>
      <c r="O29" s="29"/>
      <c r="P29" s="135"/>
      <c r="Q29" s="113"/>
      <c r="R29" s="29"/>
      <c r="S29" s="135"/>
      <c r="T29" s="113"/>
      <c r="U29" s="29"/>
      <c r="V29" s="29"/>
      <c r="W29" s="29"/>
      <c r="X29" s="29"/>
      <c r="Y29" s="29"/>
      <c r="Z29" s="114"/>
    </row>
    <row r="30" spans="1:26" ht="17.45">
      <c r="A30" s="711"/>
      <c r="B30" s="678"/>
      <c r="C30" s="127" t="s">
        <v>54</v>
      </c>
      <c r="D30" s="130" t="s">
        <v>47</v>
      </c>
      <c r="E30" s="39"/>
      <c r="F30" s="40"/>
      <c r="G30" s="60"/>
      <c r="H30" s="680"/>
      <c r="I30" s="121">
        <v>0.95</v>
      </c>
      <c r="J30" s="113"/>
      <c r="K30" s="29"/>
      <c r="L30" s="29">
        <v>0.5</v>
      </c>
      <c r="M30" s="135"/>
      <c r="N30" s="113"/>
      <c r="O30" s="29"/>
      <c r="P30" s="135"/>
      <c r="Q30" s="113"/>
      <c r="R30" s="29"/>
      <c r="S30" s="135"/>
      <c r="T30" s="113"/>
      <c r="U30" s="29"/>
      <c r="V30" s="29"/>
      <c r="W30" s="29"/>
      <c r="X30" s="29"/>
      <c r="Y30" s="29"/>
      <c r="Z30" s="114"/>
    </row>
    <row r="31" spans="1:26" ht="17.45">
      <c r="A31" s="711"/>
      <c r="B31" s="724" t="s">
        <v>55</v>
      </c>
      <c r="C31" s="128" t="s">
        <v>56</v>
      </c>
      <c r="D31" s="131" t="s">
        <v>57</v>
      </c>
      <c r="E31" s="102"/>
      <c r="F31" s="101" t="s">
        <v>21</v>
      </c>
      <c r="G31" s="103" t="s">
        <v>58</v>
      </c>
      <c r="H31" s="727"/>
      <c r="I31" s="122">
        <v>0.95</v>
      </c>
      <c r="J31" s="115"/>
      <c r="K31" s="96"/>
      <c r="L31" s="96">
        <v>0.68</v>
      </c>
      <c r="M31" s="136"/>
      <c r="N31" s="115"/>
      <c r="O31" s="96"/>
      <c r="P31" s="136"/>
      <c r="Q31" s="115"/>
      <c r="R31" s="96"/>
      <c r="S31" s="136"/>
      <c r="T31" s="115"/>
      <c r="U31" s="96"/>
      <c r="V31" s="96"/>
      <c r="W31" s="96"/>
      <c r="X31" s="96"/>
      <c r="Y31" s="96"/>
      <c r="Z31" s="116"/>
    </row>
    <row r="32" spans="1:26" ht="17.45">
      <c r="A32" s="711"/>
      <c r="B32" s="725"/>
      <c r="C32" s="128" t="s">
        <v>59</v>
      </c>
      <c r="D32" s="131" t="s">
        <v>57</v>
      </c>
      <c r="E32" s="102"/>
      <c r="F32" s="101"/>
      <c r="G32" s="104"/>
      <c r="H32" s="728"/>
      <c r="I32" s="122">
        <v>0.95</v>
      </c>
      <c r="J32" s="115"/>
      <c r="K32" s="96"/>
      <c r="L32" s="96">
        <v>0.5</v>
      </c>
      <c r="M32" s="136"/>
      <c r="N32" s="115"/>
      <c r="O32" s="96"/>
      <c r="P32" s="136"/>
      <c r="Q32" s="115"/>
      <c r="R32" s="96"/>
      <c r="S32" s="136"/>
      <c r="T32" s="115"/>
      <c r="U32" s="96"/>
      <c r="V32" s="96"/>
      <c r="W32" s="96"/>
      <c r="X32" s="96"/>
      <c r="Y32" s="96"/>
      <c r="Z32" s="116"/>
    </row>
    <row r="33" spans="1:26" ht="17.45">
      <c r="A33" s="711"/>
      <c r="B33" s="676" t="s">
        <v>60</v>
      </c>
      <c r="C33" s="127" t="s">
        <v>61</v>
      </c>
      <c r="D33" s="132" t="s">
        <v>57</v>
      </c>
      <c r="E33" s="38"/>
      <c r="F33" s="40" t="s">
        <v>21</v>
      </c>
      <c r="G33" s="59" t="s">
        <v>62</v>
      </c>
      <c r="H33" s="679" t="s">
        <v>19</v>
      </c>
      <c r="I33" s="121">
        <v>0.95</v>
      </c>
      <c r="J33" s="113"/>
      <c r="K33" s="29"/>
      <c r="L33" s="29">
        <v>0.45850000000000002</v>
      </c>
      <c r="M33" s="135"/>
      <c r="N33" s="113"/>
      <c r="O33" s="29"/>
      <c r="P33" s="135"/>
      <c r="Q33" s="113"/>
      <c r="R33" s="29"/>
      <c r="S33" s="135"/>
      <c r="T33" s="113"/>
      <c r="U33" s="29"/>
      <c r="V33" s="29"/>
      <c r="W33" s="29"/>
      <c r="X33" s="29"/>
      <c r="Y33" s="29"/>
      <c r="Z33" s="114"/>
    </row>
    <row r="34" spans="1:26" ht="17.45">
      <c r="A34" s="711"/>
      <c r="B34" s="678"/>
      <c r="C34" s="127" t="s">
        <v>63</v>
      </c>
      <c r="D34" s="132" t="s">
        <v>57</v>
      </c>
      <c r="E34" s="38"/>
      <c r="F34" s="40"/>
      <c r="G34" s="60"/>
      <c r="H34" s="680"/>
      <c r="I34" s="121">
        <v>0.95</v>
      </c>
      <c r="J34" s="113"/>
      <c r="K34" s="29"/>
      <c r="L34" s="29">
        <v>0.51149999999999995</v>
      </c>
      <c r="M34" s="135"/>
      <c r="N34" s="113"/>
      <c r="O34" s="29"/>
      <c r="P34" s="135"/>
      <c r="Q34" s="113"/>
      <c r="R34" s="29"/>
      <c r="S34" s="135"/>
      <c r="T34" s="113"/>
      <c r="U34" s="29"/>
      <c r="V34" s="29"/>
      <c r="W34" s="29"/>
      <c r="X34" s="29"/>
      <c r="Y34" s="29"/>
      <c r="Z34" s="114"/>
    </row>
    <row r="35" spans="1:26" ht="17.45">
      <c r="A35" s="711"/>
      <c r="B35" s="725" t="s">
        <v>64</v>
      </c>
      <c r="C35" s="128" t="s">
        <v>65</v>
      </c>
      <c r="D35" s="133" t="s">
        <v>47</v>
      </c>
      <c r="E35" s="105"/>
      <c r="F35" s="101" t="s">
        <v>18</v>
      </c>
      <c r="G35" s="106" t="s">
        <v>58</v>
      </c>
      <c r="H35" s="107"/>
      <c r="I35" s="123">
        <v>0.95</v>
      </c>
      <c r="J35" s="115"/>
      <c r="K35" s="96"/>
      <c r="L35" s="96">
        <v>0.74</v>
      </c>
      <c r="M35" s="136"/>
      <c r="N35" s="115"/>
      <c r="O35" s="96"/>
      <c r="P35" s="136"/>
      <c r="Q35" s="115"/>
      <c r="R35" s="96"/>
      <c r="S35" s="136"/>
      <c r="T35" s="115"/>
      <c r="U35" s="96"/>
      <c r="V35" s="96"/>
      <c r="W35" s="96"/>
      <c r="X35" s="96"/>
      <c r="Y35" s="96"/>
      <c r="Z35" s="116"/>
    </row>
    <row r="36" spans="1:26" ht="17.45">
      <c r="A36" s="711"/>
      <c r="B36" s="725"/>
      <c r="C36" s="128" t="s">
        <v>66</v>
      </c>
      <c r="D36" s="133" t="s">
        <v>47</v>
      </c>
      <c r="E36" s="105"/>
      <c r="F36" s="101" t="s">
        <v>18</v>
      </c>
      <c r="G36" s="104" t="s">
        <v>67</v>
      </c>
      <c r="H36" s="729" t="s">
        <v>19</v>
      </c>
      <c r="I36" s="122">
        <v>0.95</v>
      </c>
      <c r="J36" s="115"/>
      <c r="K36" s="96"/>
      <c r="L36" s="96">
        <v>0.22</v>
      </c>
      <c r="M36" s="136"/>
      <c r="N36" s="115"/>
      <c r="O36" s="96"/>
      <c r="P36" s="136"/>
      <c r="Q36" s="115"/>
      <c r="R36" s="96"/>
      <c r="S36" s="136"/>
      <c r="T36" s="115"/>
      <c r="U36" s="96"/>
      <c r="V36" s="96"/>
      <c r="W36" s="96"/>
      <c r="X36" s="96"/>
      <c r="Y36" s="96"/>
      <c r="Z36" s="116"/>
    </row>
    <row r="37" spans="1:26" ht="17.45">
      <c r="A37" s="711"/>
      <c r="B37" s="725"/>
      <c r="C37" s="128" t="s">
        <v>68</v>
      </c>
      <c r="D37" s="133" t="s">
        <v>47</v>
      </c>
      <c r="E37" s="105"/>
      <c r="F37" s="101" t="s">
        <v>18</v>
      </c>
      <c r="G37" s="104"/>
      <c r="H37" s="729"/>
      <c r="I37" s="122">
        <v>0.95</v>
      </c>
      <c r="J37" s="115"/>
      <c r="K37" s="96"/>
      <c r="L37" s="96">
        <v>0.21</v>
      </c>
      <c r="M37" s="136"/>
      <c r="N37" s="115"/>
      <c r="O37" s="96"/>
      <c r="P37" s="136"/>
      <c r="Q37" s="115"/>
      <c r="R37" s="96"/>
      <c r="S37" s="136"/>
      <c r="T37" s="115"/>
      <c r="U37" s="96"/>
      <c r="V37" s="96"/>
      <c r="W37" s="96"/>
      <c r="X37" s="96"/>
      <c r="Y37" s="96"/>
      <c r="Z37" s="116"/>
    </row>
    <row r="38" spans="1:26" ht="17.45">
      <c r="A38" s="712"/>
      <c r="B38" s="726"/>
      <c r="C38" s="129" t="s">
        <v>69</v>
      </c>
      <c r="D38" s="133" t="s">
        <v>47</v>
      </c>
      <c r="E38" s="105"/>
      <c r="F38" s="101" t="s">
        <v>18</v>
      </c>
      <c r="G38" s="108"/>
      <c r="H38" s="730"/>
      <c r="I38" s="122">
        <v>0.95</v>
      </c>
      <c r="J38" s="117"/>
      <c r="K38" s="118"/>
      <c r="L38" s="118">
        <v>0.03</v>
      </c>
      <c r="M38" s="137"/>
      <c r="N38" s="117"/>
      <c r="O38" s="118"/>
      <c r="P38" s="137"/>
      <c r="Q38" s="117"/>
      <c r="R38" s="118"/>
      <c r="S38" s="137"/>
      <c r="T38" s="117"/>
      <c r="U38" s="118"/>
      <c r="V38" s="118"/>
      <c r="W38" s="118"/>
      <c r="X38" s="118"/>
      <c r="Y38" s="118"/>
      <c r="Z38" s="119"/>
    </row>
    <row r="39" spans="1:26" ht="17.45">
      <c r="M39" s="19" t="s">
        <v>70</v>
      </c>
      <c r="P39" s="19" t="s">
        <v>71</v>
      </c>
      <c r="S39" s="19" t="s">
        <v>72</v>
      </c>
    </row>
    <row r="40" spans="1:26" ht="16.5" hidden="1" customHeight="1">
      <c r="J40" s="31"/>
      <c r="K40" s="32"/>
      <c r="L40" s="80" t="s">
        <v>73</v>
      </c>
      <c r="M40" s="81"/>
      <c r="N40" s="81"/>
      <c r="O40" s="81"/>
    </row>
    <row r="41" spans="1:26" ht="16.5" hidden="1" customHeight="1">
      <c r="B41" t="s">
        <v>74</v>
      </c>
      <c r="L41" s="81"/>
      <c r="M41" s="81"/>
      <c r="N41" s="81"/>
      <c r="O41" s="81"/>
    </row>
    <row r="42" spans="1:26" ht="16.5" hidden="1" customHeight="1">
      <c r="B42" t="s">
        <v>75</v>
      </c>
      <c r="L42" s="81"/>
      <c r="M42" s="81"/>
      <c r="N42" s="81"/>
      <c r="O42" s="81"/>
    </row>
    <row r="43" spans="1:26" ht="16.5" hidden="1" customHeight="1">
      <c r="B43" t="s">
        <v>76</v>
      </c>
      <c r="L43" s="81"/>
      <c r="M43" s="81"/>
      <c r="N43" s="81"/>
      <c r="O43" s="81"/>
    </row>
    <row r="44" spans="1:26" ht="16.5" hidden="1" customHeight="1">
      <c r="B44" t="s">
        <v>77</v>
      </c>
      <c r="L44" s="81"/>
      <c r="M44" s="81"/>
      <c r="N44" s="81"/>
      <c r="O44" s="81"/>
    </row>
    <row r="45" spans="1:26" ht="16.5" hidden="1" customHeight="1">
      <c r="B45">
        <v>1</v>
      </c>
      <c r="D45" t="s">
        <v>78</v>
      </c>
      <c r="L45" s="81"/>
      <c r="M45" s="81"/>
      <c r="N45" s="81"/>
      <c r="O45" s="81"/>
    </row>
    <row r="46" spans="1:26" ht="16.5" hidden="1" customHeight="1">
      <c r="B46" t="s">
        <v>79</v>
      </c>
      <c r="L46" s="81"/>
      <c r="M46" s="81"/>
      <c r="N46" s="81"/>
      <c r="O46" s="81"/>
    </row>
    <row r="47" spans="1:26" ht="16.5" hidden="1" customHeight="1">
      <c r="B47" t="s">
        <v>80</v>
      </c>
      <c r="L47" s="81"/>
      <c r="M47" s="81"/>
      <c r="N47" s="81"/>
      <c r="O47" s="81"/>
    </row>
    <row r="48" spans="1:26" ht="16.5" hidden="1" customHeight="1">
      <c r="B48" t="s">
        <v>81</v>
      </c>
      <c r="L48" s="81"/>
      <c r="M48" s="81"/>
      <c r="N48" s="81"/>
      <c r="O48" s="81"/>
    </row>
    <row r="49" spans="2:15" ht="16.5" hidden="1" customHeight="1">
      <c r="B49" t="s">
        <v>76</v>
      </c>
      <c r="L49" s="81"/>
      <c r="M49" s="81"/>
      <c r="N49" s="81"/>
      <c r="O49" s="81"/>
    </row>
    <row r="50" spans="2:15" ht="16.5" hidden="1" customHeight="1">
      <c r="B50" t="s">
        <v>82</v>
      </c>
      <c r="L50" s="81"/>
      <c r="M50" s="81"/>
      <c r="N50" s="81"/>
      <c r="O50" s="81"/>
    </row>
    <row r="51" spans="2:15" ht="16.5" hidden="1" customHeight="1">
      <c r="B51" t="s">
        <v>83</v>
      </c>
      <c r="L51" s="81"/>
      <c r="M51" s="81"/>
      <c r="N51" s="81"/>
      <c r="O51" s="81"/>
    </row>
    <row r="52" spans="2:15" ht="16.5" hidden="1" customHeight="1">
      <c r="B52" t="s">
        <v>84</v>
      </c>
      <c r="L52" s="81"/>
      <c r="M52" s="81"/>
      <c r="N52" s="81"/>
      <c r="O52" s="81"/>
    </row>
    <row r="53" spans="2:15" ht="16.5" hidden="1" customHeight="1">
      <c r="B53" t="s">
        <v>85</v>
      </c>
      <c r="L53" s="81"/>
      <c r="M53" s="81"/>
      <c r="N53" s="81"/>
      <c r="O53" s="81"/>
    </row>
    <row r="54" spans="2:15" ht="16.5" hidden="1" customHeight="1">
      <c r="B54" t="s">
        <v>86</v>
      </c>
      <c r="L54" s="81"/>
      <c r="M54" s="81"/>
      <c r="N54" s="81"/>
      <c r="O54" s="81"/>
    </row>
    <row r="55" spans="2:15" ht="16.5" hidden="1" customHeight="1">
      <c r="B55" t="s">
        <v>76</v>
      </c>
      <c r="L55" s="81"/>
      <c r="M55" s="81"/>
      <c r="N55" s="81"/>
      <c r="O55" s="81"/>
    </row>
    <row r="56" spans="2:15" ht="16.5" hidden="1" customHeight="1">
      <c r="B56" t="s">
        <v>87</v>
      </c>
    </row>
    <row r="57" spans="2:15" ht="16.5" hidden="1" customHeight="1"/>
    <row r="58" spans="2:15" ht="16.5" hidden="1" customHeight="1"/>
    <row r="59" spans="2:15" ht="16.5" hidden="1" customHeight="1"/>
    <row r="60" spans="2:15" ht="16.5" hidden="1" customHeight="1"/>
    <row r="61" spans="2:15" ht="16.5" hidden="1" customHeight="1"/>
    <row r="62" spans="2:15" ht="16.5" hidden="1" customHeight="1"/>
    <row r="63" spans="2:15" ht="16.5" hidden="1" customHeight="1"/>
    <row r="64" spans="2:15" ht="16.5" hidden="1" customHeight="1"/>
    <row r="65" spans="9:12" ht="16.5" hidden="1" customHeight="1"/>
    <row r="66" spans="9:12" ht="16.5" hidden="1" customHeight="1"/>
    <row r="67" spans="9:12" ht="16.5" hidden="1" customHeight="1"/>
    <row r="68" spans="9:12" ht="16.5" hidden="1" customHeight="1"/>
    <row r="69" spans="9:12" ht="16.5" hidden="1" customHeight="1"/>
    <row r="70" spans="9:12" ht="16.5" hidden="1" customHeight="1"/>
    <row r="71" spans="9:12" ht="16.5" hidden="1" customHeight="1"/>
    <row r="72" spans="9:12" ht="16.5" hidden="1" customHeight="1"/>
    <row r="73" spans="9:12" ht="16.5" hidden="1" customHeight="1"/>
    <row r="74" spans="9:12" ht="16.5" hidden="1" customHeight="1"/>
    <row r="75" spans="9:12" ht="16.5" hidden="1" customHeight="1"/>
    <row r="76" spans="9:12" ht="16.5" hidden="1" customHeight="1"/>
    <row r="77" spans="9:12" ht="16.5" hidden="1" customHeight="1">
      <c r="I77" s="80" t="s">
        <v>88</v>
      </c>
      <c r="J77" s="81"/>
      <c r="K77" s="81"/>
      <c r="L77" s="81"/>
    </row>
  </sheetData>
  <mergeCells count="40">
    <mergeCell ref="A27:A38"/>
    <mergeCell ref="A14:A26"/>
    <mergeCell ref="C2:I2"/>
    <mergeCell ref="A7:B9"/>
    <mergeCell ref="A10:B12"/>
    <mergeCell ref="B33:B34"/>
    <mergeCell ref="B31:B32"/>
    <mergeCell ref="B35:B38"/>
    <mergeCell ref="H31:H32"/>
    <mergeCell ref="H33:H34"/>
    <mergeCell ref="H28:H30"/>
    <mergeCell ref="H36:H38"/>
    <mergeCell ref="D21:D22"/>
    <mergeCell ref="B27:B30"/>
    <mergeCell ref="H19:H20"/>
    <mergeCell ref="D23:D24"/>
    <mergeCell ref="Q2:S2"/>
    <mergeCell ref="N2:P2"/>
    <mergeCell ref="D25:D26"/>
    <mergeCell ref="H23:H24"/>
    <mergeCell ref="H21:H22"/>
    <mergeCell ref="H25:H26"/>
    <mergeCell ref="D7:D9"/>
    <mergeCell ref="H7:H9"/>
    <mergeCell ref="D10:D12"/>
    <mergeCell ref="H10:H12"/>
    <mergeCell ref="J2:M2"/>
    <mergeCell ref="H14:H16"/>
    <mergeCell ref="H17:H18"/>
    <mergeCell ref="A4:B4"/>
    <mergeCell ref="A5:B5"/>
    <mergeCell ref="B14:B16"/>
    <mergeCell ref="D14:D16"/>
    <mergeCell ref="B17:B18"/>
    <mergeCell ref="D17:D18"/>
    <mergeCell ref="B19:B20"/>
    <mergeCell ref="D19:D20"/>
    <mergeCell ref="B21:B22"/>
    <mergeCell ref="B23:B24"/>
    <mergeCell ref="B25:B26"/>
  </mergeCells>
  <phoneticPr fontId="2" type="noConversion"/>
  <hyperlinks>
    <hyperlink ref="D17" r:id="rId1" xr:uid="{3315730D-BA8B-48C0-9C68-C8C6B887316A}"/>
    <hyperlink ref="D19" r:id="rId2" xr:uid="{B7719F5F-F01C-4811-9EA7-34FE3D04FC91}"/>
    <hyperlink ref="D21" r:id="rId3" xr:uid="{7666232D-91E4-4BDD-9807-3FCBBCD69BA7}"/>
    <hyperlink ref="D23" r:id="rId4" xr:uid="{E2C61782-57E4-49AA-B009-146EE923104B}"/>
    <hyperlink ref="D25" r:id="rId5" xr:uid="{B2BA090C-1CCA-4CBA-A990-08E5FACCB1E1}"/>
    <hyperlink ref="D14" r:id="rId6" xr:uid="{DA7AEA3A-F150-4B57-BF43-1FEE31C30FF8}"/>
    <hyperlink ref="D38" r:id="rId7" xr:uid="{7637B5DB-7B16-4FD8-9120-47C9D14B4559}"/>
    <hyperlink ref="H14" r:id="rId8" xr:uid="{BA52603B-6034-492B-A914-70BF421B90ED}"/>
    <hyperlink ref="H25" r:id="rId9" xr:uid="{33CF754B-DD87-4BB5-805D-53D0F98AC5FA}"/>
    <hyperlink ref="H21" r:id="rId10" xr:uid="{90FCF77F-8461-48F8-A896-69D7C06CDC5B}"/>
    <hyperlink ref="H19" r:id="rId11" xr:uid="{04C9A65D-A633-4DB1-9A14-6978CD64303A}"/>
    <hyperlink ref="H23" r:id="rId12" xr:uid="{0AA48CEE-8A5C-4A20-ACE3-0B1B17DEC48B}"/>
    <hyperlink ref="D37" r:id="rId13" xr:uid="{58F46864-FB58-445C-A5DB-DBC64E7F331B}"/>
    <hyperlink ref="D36" r:id="rId14" xr:uid="{F0616A61-97E0-4AAC-844B-4CF62667A361}"/>
    <hyperlink ref="D35" r:id="rId15" xr:uid="{0ECAD10E-308B-44D4-AB4F-7BB0A6C07DF1}"/>
    <hyperlink ref="D27" r:id="rId16" xr:uid="{0EB90C21-3A0E-4FF9-8B9C-0F67858A01E7}"/>
    <hyperlink ref="D28:D30" r:id="rId17" display="후처리요약_공통" xr:uid="{5441A712-C332-470B-A588-A3D2CFACA4DF}"/>
    <hyperlink ref="H33:H34" r:id="rId18" display="결과서" xr:uid="{295C93FB-91F1-4B90-8B13-87CC60BFADB7}"/>
    <hyperlink ref="H28:H30" r:id="rId19" display="결과서" xr:uid="{8AB546DD-DEE2-4DB8-89CE-5EF465BD4267}"/>
    <hyperlink ref="H27" r:id="rId20" xr:uid="{6DC87FE1-0FAB-4586-8DF0-202859D7908C}"/>
    <hyperlink ref="D7" r:id="rId21" xr:uid="{DBEF9E14-5CB6-4AD8-9873-51C23DF3135B}"/>
    <hyperlink ref="H7" r:id="rId22" xr:uid="{E1943F73-959B-433D-8FE6-3CAF17FD8039}"/>
    <hyperlink ref="D10" r:id="rId23" xr:uid="{53F02CE6-78EE-4AC8-B7D7-898CD81C5FF0}"/>
    <hyperlink ref="H10" r:id="rId24" xr:uid="{FF381FB9-0C90-40CF-BE9B-3BBAFCD3F0D6}"/>
  </hyperlinks>
  <pageMargins left="0.7" right="0.7" top="0.75" bottom="0.75" header="0.3" footer="0.3"/>
  <legacyDrawing r:id="rId2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0F4C-D81F-4439-8B6E-5BD3BD55C77B}">
  <sheetPr>
    <tabColor rgb="FF00B0F0"/>
  </sheetPr>
  <dimension ref="A1:AB97"/>
  <sheetViews>
    <sheetView topLeftCell="A34" workbookViewId="0">
      <selection activeCell="L24" sqref="L24"/>
    </sheetView>
  </sheetViews>
  <sheetFormatPr defaultColWidth="9" defaultRowHeight="16.5" customHeight="1" outlineLevelRow="1"/>
  <cols>
    <col min="1" max="1" width="3.75" customWidth="1"/>
    <col min="2" max="2" width="8.25" customWidth="1"/>
    <col min="3" max="3" width="11.625" bestFit="1" customWidth="1"/>
    <col min="4" max="4" width="26.375" customWidth="1"/>
    <col min="5" max="5" width="11.875" bestFit="1" customWidth="1"/>
    <col min="6" max="6" width="10" hidden="1" customWidth="1"/>
    <col min="7" max="15" width="10" customWidth="1"/>
    <col min="16" max="22" width="12.625" hidden="1" customWidth="1"/>
    <col min="23" max="23" width="8" customWidth="1"/>
    <col min="24" max="24" width="11.5" customWidth="1"/>
  </cols>
  <sheetData>
    <row r="1" spans="1:22" s="196" customFormat="1" ht="16.5" customHeight="1">
      <c r="G1" s="197"/>
      <c r="I1" s="198" t="s">
        <v>70</v>
      </c>
      <c r="L1" s="198" t="s">
        <v>71</v>
      </c>
      <c r="O1" s="198" t="s">
        <v>72</v>
      </c>
    </row>
    <row r="2" spans="1:22" ht="18" thickBot="1">
      <c r="A2" s="23"/>
      <c r="B2" s="23"/>
      <c r="E2" s="249" t="s">
        <v>89</v>
      </c>
      <c r="F2" s="656" t="s">
        <v>0</v>
      </c>
      <c r="G2" s="656"/>
      <c r="H2" s="656"/>
      <c r="I2" s="656"/>
      <c r="J2" s="657" t="s">
        <v>1</v>
      </c>
      <c r="K2" s="657"/>
      <c r="L2" s="657"/>
      <c r="M2" s="731" t="s">
        <v>2</v>
      </c>
      <c r="N2" s="731"/>
      <c r="O2" s="731"/>
      <c r="P2" s="23"/>
      <c r="Q2" s="23"/>
      <c r="R2" s="23"/>
      <c r="S2" s="23"/>
      <c r="T2" s="23"/>
      <c r="U2" s="23"/>
      <c r="V2" s="23"/>
    </row>
    <row r="3" spans="1:22" s="23" customFormat="1" ht="25.9" customHeight="1">
      <c r="A3" s="194"/>
      <c r="B3" s="250" t="s">
        <v>96</v>
      </c>
      <c r="C3" s="251" t="s">
        <v>97</v>
      </c>
      <c r="D3" s="255" t="s">
        <v>98</v>
      </c>
      <c r="E3" s="259" t="s">
        <v>10</v>
      </c>
      <c r="F3" s="260">
        <v>46034</v>
      </c>
      <c r="G3" s="252">
        <v>46041</v>
      </c>
      <c r="H3" s="253">
        <v>46048</v>
      </c>
      <c r="I3" s="254">
        <v>46055</v>
      </c>
      <c r="J3" s="386" t="s">
        <v>99</v>
      </c>
      <c r="K3" s="253">
        <v>46069</v>
      </c>
      <c r="L3" s="254">
        <v>46076</v>
      </c>
      <c r="M3" s="261">
        <v>46083</v>
      </c>
      <c r="N3" s="253">
        <v>46090</v>
      </c>
      <c r="O3" s="254">
        <v>46097</v>
      </c>
      <c r="P3" s="248">
        <v>46104</v>
      </c>
      <c r="Q3" s="201">
        <v>46111</v>
      </c>
      <c r="R3" s="201">
        <v>46118</v>
      </c>
      <c r="S3" s="201">
        <v>46125</v>
      </c>
      <c r="T3" s="201">
        <v>46132</v>
      </c>
      <c r="U3" s="201">
        <v>46139</v>
      </c>
      <c r="V3" s="201">
        <v>46146</v>
      </c>
    </row>
    <row r="4" spans="1:22" s="23" customFormat="1" ht="17.25" customHeight="1">
      <c r="A4" s="192"/>
      <c r="B4" s="658" t="s">
        <v>14</v>
      </c>
      <c r="C4" s="204" t="s">
        <v>21</v>
      </c>
      <c r="D4" s="262" t="s">
        <v>100</v>
      </c>
      <c r="E4" s="655">
        <v>0.95</v>
      </c>
      <c r="F4" s="270"/>
      <c r="G4" s="271">
        <v>0.53</v>
      </c>
      <c r="H4" s="272">
        <v>0.74</v>
      </c>
      <c r="I4" s="400">
        <f>AVERAGE(I16:I21)</f>
        <v>0.70619999999999994</v>
      </c>
      <c r="J4" s="401">
        <f>AVERAGE(J16:J21)</f>
        <v>0.70074999999999998</v>
      </c>
      <c r="K4" s="371"/>
      <c r="L4" s="372"/>
      <c r="M4" s="370"/>
      <c r="N4" s="371"/>
      <c r="O4" s="372"/>
      <c r="P4" s="205"/>
      <c r="Q4" s="145"/>
      <c r="R4" s="145"/>
      <c r="S4" s="145"/>
      <c r="T4" s="145"/>
      <c r="U4" s="145"/>
      <c r="V4" s="147"/>
    </row>
    <row r="5" spans="1:22" s="23" customFormat="1" ht="17.25" customHeight="1">
      <c r="A5" s="192"/>
      <c r="B5" s="659"/>
      <c r="C5" s="202" t="s">
        <v>91</v>
      </c>
      <c r="D5" s="257" t="s">
        <v>101</v>
      </c>
      <c r="E5" s="655"/>
      <c r="F5" s="273"/>
      <c r="G5" s="274">
        <v>0</v>
      </c>
      <c r="H5" s="365">
        <v>0.59</v>
      </c>
      <c r="I5" s="390">
        <f>AVERAGE(I23:I28)</f>
        <v>0.61440000000000006</v>
      </c>
      <c r="J5" s="391">
        <f>AVERAGE(J23:J28)</f>
        <v>0.61099999999999999</v>
      </c>
      <c r="K5" s="374"/>
      <c r="L5" s="375"/>
      <c r="M5" s="373"/>
      <c r="N5" s="374"/>
      <c r="O5" s="375"/>
      <c r="P5" s="206"/>
      <c r="Q5" s="141"/>
      <c r="R5" s="141"/>
      <c r="S5" s="141"/>
      <c r="T5" s="141"/>
      <c r="U5" s="141"/>
      <c r="V5" s="149"/>
    </row>
    <row r="6" spans="1:22" s="23" customFormat="1" ht="17.25" customHeight="1" thickBot="1">
      <c r="A6" s="192"/>
      <c r="B6" s="660"/>
      <c r="C6" s="203" t="s">
        <v>92</v>
      </c>
      <c r="D6" s="258" t="s">
        <v>102</v>
      </c>
      <c r="E6" s="661"/>
      <c r="F6" s="277"/>
      <c r="G6" s="278">
        <v>0.37</v>
      </c>
      <c r="H6" s="279">
        <v>0.57809999999999995</v>
      </c>
      <c r="I6" s="280"/>
      <c r="J6" s="376"/>
      <c r="K6" s="377"/>
      <c r="L6" s="378"/>
      <c r="M6" s="376"/>
      <c r="N6" s="377"/>
      <c r="O6" s="378"/>
      <c r="P6" s="207"/>
      <c r="Q6" s="143"/>
      <c r="R6" s="143"/>
      <c r="S6" s="143"/>
      <c r="T6" s="143"/>
      <c r="U6" s="143"/>
      <c r="V6" s="176"/>
    </row>
    <row r="7" spans="1:22" s="23" customFormat="1" ht="17.25" customHeight="1">
      <c r="A7" s="192"/>
      <c r="B7" s="652" t="s">
        <v>39</v>
      </c>
      <c r="C7" s="204" t="s">
        <v>21</v>
      </c>
      <c r="D7" s="256" t="s">
        <v>100</v>
      </c>
      <c r="E7" s="654">
        <v>0.95</v>
      </c>
      <c r="F7" s="281"/>
      <c r="G7" s="282"/>
      <c r="H7" s="282">
        <v>0.5</v>
      </c>
      <c r="I7" s="283">
        <f>AVERAGE(I36:I43)</f>
        <v>0.58824999999999994</v>
      </c>
      <c r="J7" s="379">
        <f>AVERAGE(J36:J43)</f>
        <v>0.63735714285714284</v>
      </c>
      <c r="K7" s="380"/>
      <c r="L7" s="381"/>
      <c r="M7" s="379"/>
      <c r="N7" s="380"/>
      <c r="O7" s="381"/>
      <c r="P7" s="205"/>
      <c r="Q7" s="145"/>
      <c r="R7" s="145"/>
      <c r="S7" s="145"/>
      <c r="T7" s="145"/>
      <c r="U7" s="145"/>
      <c r="V7" s="147"/>
    </row>
    <row r="8" spans="1:22" s="23" customFormat="1" ht="17.25" customHeight="1">
      <c r="A8" s="192"/>
      <c r="B8" s="653"/>
      <c r="C8" s="202" t="s">
        <v>91</v>
      </c>
      <c r="D8" s="257" t="s">
        <v>103</v>
      </c>
      <c r="E8" s="655"/>
      <c r="F8" s="273"/>
      <c r="G8" s="274"/>
      <c r="H8" s="389"/>
      <c r="I8" s="390">
        <f>AVERAGE(I48:I55)</f>
        <v>0.71174999999999999</v>
      </c>
      <c r="J8" s="391">
        <f>AVERAGE(J48:J55)</f>
        <v>0.78931255411255408</v>
      </c>
      <c r="K8" s="392"/>
      <c r="L8" s="393"/>
      <c r="M8" s="391"/>
      <c r="N8" s="392"/>
      <c r="O8" s="393"/>
      <c r="P8" s="206"/>
      <c r="Q8" s="141"/>
      <c r="R8" s="141"/>
      <c r="S8" s="141"/>
      <c r="T8" s="141"/>
      <c r="U8" s="141"/>
      <c r="V8" s="149"/>
    </row>
    <row r="9" spans="1:22" s="23" customFormat="1" ht="17.25" customHeight="1" thickBot="1">
      <c r="A9" s="192"/>
      <c r="B9" s="653"/>
      <c r="C9" s="264" t="s">
        <v>92</v>
      </c>
      <c r="D9" s="265" t="s">
        <v>104</v>
      </c>
      <c r="E9" s="655"/>
      <c r="F9" s="285"/>
      <c r="G9" s="279"/>
      <c r="H9" s="286"/>
      <c r="I9" s="287"/>
      <c r="J9" s="382"/>
      <c r="K9" s="383"/>
      <c r="L9" s="384"/>
      <c r="M9" s="385"/>
      <c r="N9" s="383"/>
      <c r="O9" s="384"/>
      <c r="P9" s="208"/>
      <c r="Q9" s="151"/>
      <c r="R9" s="151"/>
      <c r="S9" s="151"/>
      <c r="T9" s="151"/>
      <c r="U9" s="151"/>
      <c r="V9" s="153"/>
    </row>
    <row r="10" spans="1:22" s="23" customFormat="1" ht="17.25" customHeight="1">
      <c r="A10" s="192"/>
      <c r="B10" s="637" t="s">
        <v>105</v>
      </c>
      <c r="C10" s="359"/>
      <c r="D10" s="362"/>
      <c r="E10" s="266"/>
      <c r="F10" s="288"/>
      <c r="G10" s="289"/>
      <c r="H10" s="290"/>
      <c r="I10" s="291"/>
      <c r="J10" s="288"/>
      <c r="K10" s="282"/>
      <c r="L10" s="284"/>
      <c r="M10" s="292"/>
      <c r="N10" s="282"/>
      <c r="O10" s="293"/>
      <c r="P10" s="263"/>
      <c r="Q10" s="263"/>
      <c r="R10" s="263"/>
      <c r="S10" s="263"/>
      <c r="T10" s="263"/>
      <c r="U10" s="263"/>
      <c r="V10" s="263"/>
    </row>
    <row r="11" spans="1:22" s="23" customFormat="1" ht="17.25" customHeight="1">
      <c r="A11" s="192"/>
      <c r="B11" s="638"/>
      <c r="C11" s="360"/>
      <c r="D11" s="363"/>
      <c r="E11" s="267"/>
      <c r="F11" s="294"/>
      <c r="G11" s="275"/>
      <c r="H11" s="295"/>
      <c r="I11" s="296"/>
      <c r="J11" s="294"/>
      <c r="K11" s="274"/>
      <c r="L11" s="276"/>
      <c r="M11" s="297"/>
      <c r="N11" s="274"/>
      <c r="O11" s="298"/>
      <c r="P11" s="263"/>
      <c r="Q11" s="263"/>
      <c r="R11" s="263"/>
      <c r="S11" s="263"/>
      <c r="T11" s="263"/>
      <c r="U11" s="263"/>
      <c r="V11" s="263"/>
    </row>
    <row r="12" spans="1:22" s="23" customFormat="1" ht="17.25" customHeight="1" thickBot="1">
      <c r="A12" s="192"/>
      <c r="B12" s="639"/>
      <c r="C12" s="361"/>
      <c r="D12" s="364"/>
      <c r="E12" s="268"/>
      <c r="F12" s="299"/>
      <c r="G12" s="300"/>
      <c r="H12" s="301"/>
      <c r="I12" s="302"/>
      <c r="J12" s="299"/>
      <c r="K12" s="303"/>
      <c r="L12" s="304"/>
      <c r="M12" s="305"/>
      <c r="N12" s="303"/>
      <c r="O12" s="306"/>
      <c r="P12" s="263"/>
      <c r="Q12" s="263"/>
      <c r="R12" s="263"/>
      <c r="S12" s="263"/>
      <c r="T12" s="263"/>
      <c r="U12" s="263"/>
      <c r="V12" s="263"/>
    </row>
    <row r="13" spans="1:22" ht="9" customHeight="1" thickBot="1">
      <c r="A13" s="23"/>
      <c r="B13" s="89"/>
      <c r="C13" s="181"/>
      <c r="F13" s="155"/>
      <c r="G13" s="155"/>
      <c r="H13" s="156"/>
      <c r="I13" s="155"/>
      <c r="J13" s="155"/>
      <c r="K13" s="155"/>
      <c r="L13" s="155"/>
      <c r="M13" s="155"/>
      <c r="N13" s="155"/>
      <c r="O13" s="155"/>
      <c r="P13" s="155"/>
      <c r="Q13" s="155"/>
      <c r="R13" s="155"/>
      <c r="S13" s="155"/>
      <c r="T13" s="155"/>
      <c r="U13" s="155"/>
      <c r="V13" s="155"/>
    </row>
    <row r="14" spans="1:22" s="23" customFormat="1" ht="17.25" customHeight="1" thickBot="1">
      <c r="B14" s="244" t="s">
        <v>3</v>
      </c>
      <c r="C14" s="245" t="s">
        <v>97</v>
      </c>
      <c r="D14" s="246" t="s">
        <v>106</v>
      </c>
      <c r="E14" s="247" t="s">
        <v>107</v>
      </c>
      <c r="F14" s="238" t="s">
        <v>108</v>
      </c>
      <c r="G14" s="239" t="s">
        <v>109</v>
      </c>
      <c r="H14" s="239" t="s">
        <v>110</v>
      </c>
      <c r="I14" s="240" t="s">
        <v>111</v>
      </c>
      <c r="J14" s="241" t="s">
        <v>112</v>
      </c>
      <c r="K14" s="242" t="s">
        <v>113</v>
      </c>
      <c r="L14" s="240" t="s">
        <v>114</v>
      </c>
      <c r="M14" s="241" t="s">
        <v>115</v>
      </c>
      <c r="N14" s="242" t="s">
        <v>116</v>
      </c>
      <c r="O14" s="243" t="s">
        <v>117</v>
      </c>
      <c r="P14" s="232"/>
      <c r="Q14" s="220"/>
      <c r="R14" s="220"/>
      <c r="S14" s="220"/>
      <c r="T14" s="220"/>
      <c r="U14" s="220"/>
      <c r="V14" s="215"/>
    </row>
    <row r="15" spans="1:22" s="23" customFormat="1" ht="17.25" customHeight="1">
      <c r="B15" s="640" t="s">
        <v>118</v>
      </c>
      <c r="C15" s="643" t="s">
        <v>21</v>
      </c>
      <c r="D15" s="236" t="s">
        <v>119</v>
      </c>
      <c r="E15" s="237" t="s">
        <v>120</v>
      </c>
      <c r="F15" s="307"/>
      <c r="G15" s="308">
        <v>0.95</v>
      </c>
      <c r="H15" s="309">
        <v>0.94</v>
      </c>
      <c r="I15" s="310">
        <v>0.94799999999999995</v>
      </c>
      <c r="J15" s="307">
        <v>0.95299999999999996</v>
      </c>
      <c r="K15" s="308"/>
      <c r="L15" s="310"/>
      <c r="M15" s="307"/>
      <c r="N15" s="308"/>
      <c r="O15" s="311"/>
      <c r="P15" s="209"/>
      <c r="Q15" s="193"/>
      <c r="R15" s="193"/>
      <c r="S15" s="193"/>
      <c r="T15" s="193"/>
      <c r="U15" s="193"/>
      <c r="V15" s="221"/>
    </row>
    <row r="16" spans="1:22" s="23" customFormat="1" ht="17.25" customHeight="1">
      <c r="B16" s="641"/>
      <c r="C16" s="644"/>
      <c r="D16" s="645" t="s">
        <v>121</v>
      </c>
      <c r="E16" s="227" t="s">
        <v>120</v>
      </c>
      <c r="F16" s="312"/>
      <c r="G16" s="313">
        <v>0.62</v>
      </c>
      <c r="H16" s="313">
        <v>0.74299999999999999</v>
      </c>
      <c r="I16" s="394">
        <v>0.74</v>
      </c>
      <c r="J16" s="406" t="s">
        <v>122</v>
      </c>
      <c r="K16" s="313"/>
      <c r="L16" s="269"/>
      <c r="M16" s="312"/>
      <c r="N16" s="313"/>
      <c r="O16" s="314"/>
      <c r="P16" s="210"/>
      <c r="Q16" s="187"/>
      <c r="R16" s="187"/>
      <c r="S16" s="187"/>
      <c r="T16" s="187"/>
      <c r="U16" s="187"/>
      <c r="V16" s="216"/>
    </row>
    <row r="17" spans="2:22" s="23" customFormat="1" ht="17.25" customHeight="1">
      <c r="B17" s="641"/>
      <c r="C17" s="644"/>
      <c r="D17" s="645"/>
      <c r="E17" s="227" t="s">
        <v>123</v>
      </c>
      <c r="F17" s="312"/>
      <c r="G17" s="315" t="s">
        <v>124</v>
      </c>
      <c r="H17" s="316" t="s">
        <v>125</v>
      </c>
      <c r="I17" s="407" t="s">
        <v>126</v>
      </c>
      <c r="J17" s="406" t="s">
        <v>122</v>
      </c>
      <c r="K17" s="313"/>
      <c r="L17" s="269"/>
      <c r="M17" s="312"/>
      <c r="N17" s="313"/>
      <c r="O17" s="314"/>
      <c r="P17" s="210"/>
      <c r="Q17" s="187"/>
      <c r="R17" s="187"/>
      <c r="S17" s="187"/>
      <c r="T17" s="187"/>
      <c r="U17" s="187"/>
      <c r="V17" s="216"/>
    </row>
    <row r="18" spans="2:22" s="23" customFormat="1" ht="17.25" customHeight="1">
      <c r="B18" s="641"/>
      <c r="C18" s="644"/>
      <c r="D18" s="645"/>
      <c r="E18" s="227" t="s">
        <v>25</v>
      </c>
      <c r="F18" s="312"/>
      <c r="G18" s="313"/>
      <c r="H18" s="316" t="s">
        <v>126</v>
      </c>
      <c r="I18" s="269">
        <v>0.64</v>
      </c>
      <c r="J18" s="312">
        <v>0.65300000000000002</v>
      </c>
      <c r="K18" s="313"/>
      <c r="L18" s="269"/>
      <c r="M18" s="312"/>
      <c r="N18" s="313"/>
      <c r="O18" s="314"/>
      <c r="P18" s="210"/>
      <c r="Q18" s="187"/>
      <c r="R18" s="187"/>
      <c r="S18" s="187"/>
      <c r="T18" s="187"/>
      <c r="U18" s="187"/>
      <c r="V18" s="216"/>
    </row>
    <row r="19" spans="2:22" s="23" customFormat="1" ht="17.25" customHeight="1">
      <c r="B19" s="641"/>
      <c r="C19" s="644"/>
      <c r="D19" s="645"/>
      <c r="E19" s="227" t="s">
        <v>27</v>
      </c>
      <c r="F19" s="312"/>
      <c r="G19" s="313">
        <v>0.52</v>
      </c>
      <c r="H19" s="313">
        <v>0.76700000000000002</v>
      </c>
      <c r="I19" s="269">
        <v>0.77</v>
      </c>
      <c r="J19" s="312">
        <v>0.77</v>
      </c>
      <c r="K19" s="313"/>
      <c r="L19" s="269"/>
      <c r="M19" s="312"/>
      <c r="N19" s="313"/>
      <c r="O19" s="314"/>
      <c r="P19" s="210"/>
      <c r="Q19" s="187"/>
      <c r="R19" s="187"/>
      <c r="S19" s="187"/>
      <c r="T19" s="187"/>
      <c r="U19" s="187"/>
      <c r="V19" s="216"/>
    </row>
    <row r="20" spans="2:22" s="23" customFormat="1" ht="17.25" customHeight="1">
      <c r="B20" s="641"/>
      <c r="C20" s="644"/>
      <c r="D20" s="645"/>
      <c r="E20" s="227" t="s">
        <v>29</v>
      </c>
      <c r="F20" s="312"/>
      <c r="G20" s="313"/>
      <c r="H20" s="316" t="s">
        <v>126</v>
      </c>
      <c r="I20" s="269">
        <v>0.67</v>
      </c>
      <c r="J20" s="312">
        <v>0.67</v>
      </c>
      <c r="K20" s="313"/>
      <c r="L20" s="269"/>
      <c r="M20" s="312"/>
      <c r="N20" s="313"/>
      <c r="O20" s="314"/>
      <c r="P20" s="210"/>
      <c r="Q20" s="187"/>
      <c r="R20" s="187"/>
      <c r="S20" s="187"/>
      <c r="T20" s="187"/>
      <c r="U20" s="187"/>
      <c r="V20" s="216"/>
    </row>
    <row r="21" spans="2:22" s="23" customFormat="1" ht="17.25" customHeight="1">
      <c r="B21" s="641"/>
      <c r="C21" s="644"/>
      <c r="D21" s="645"/>
      <c r="E21" s="227" t="s">
        <v>31</v>
      </c>
      <c r="F21" s="312"/>
      <c r="G21" s="313">
        <v>0.46</v>
      </c>
      <c r="H21" s="313">
        <v>0.71099999999999997</v>
      </c>
      <c r="I21" s="269">
        <v>0.71099999999999997</v>
      </c>
      <c r="J21" s="312">
        <v>0.71</v>
      </c>
      <c r="K21" s="313"/>
      <c r="L21" s="269"/>
      <c r="M21" s="312"/>
      <c r="N21" s="313"/>
      <c r="O21" s="314"/>
      <c r="P21" s="210"/>
      <c r="Q21" s="187"/>
      <c r="R21" s="187"/>
      <c r="S21" s="187"/>
      <c r="T21" s="187"/>
      <c r="U21" s="187"/>
      <c r="V21" s="216"/>
    </row>
    <row r="22" spans="2:22" s="23" customFormat="1" ht="17.25" customHeight="1" outlineLevel="1">
      <c r="B22" s="641"/>
      <c r="C22" s="644" t="s">
        <v>127</v>
      </c>
      <c r="D22" s="214" t="s">
        <v>128</v>
      </c>
      <c r="E22" s="227" t="s">
        <v>120</v>
      </c>
      <c r="F22" s="312"/>
      <c r="G22" s="313"/>
      <c r="H22" s="313"/>
      <c r="I22" s="269">
        <v>0.94799999999999995</v>
      </c>
      <c r="J22" s="409">
        <v>0.95299999999999996</v>
      </c>
      <c r="K22" s="313"/>
      <c r="L22" s="269"/>
      <c r="M22" s="312"/>
      <c r="N22" s="313"/>
      <c r="O22" s="314"/>
      <c r="P22" s="210"/>
      <c r="Q22" s="187"/>
      <c r="R22" s="187"/>
      <c r="S22" s="187"/>
      <c r="T22" s="187"/>
      <c r="U22" s="187"/>
      <c r="V22" s="216"/>
    </row>
    <row r="23" spans="2:22" s="23" customFormat="1" ht="17.25" customHeight="1" outlineLevel="1">
      <c r="B23" s="641"/>
      <c r="C23" s="644"/>
      <c r="D23" s="646" t="s">
        <v>121</v>
      </c>
      <c r="E23" s="228" t="s">
        <v>120</v>
      </c>
      <c r="F23" s="317"/>
      <c r="G23" s="318"/>
      <c r="H23" s="318">
        <v>0.59</v>
      </c>
      <c r="I23" s="319">
        <v>0.73899999999999999</v>
      </c>
      <c r="J23" s="408">
        <v>0.752</v>
      </c>
      <c r="K23" s="318"/>
      <c r="L23" s="319"/>
      <c r="M23" s="317"/>
      <c r="N23" s="318"/>
      <c r="O23" s="320"/>
      <c r="P23" s="211"/>
      <c r="Q23" s="186"/>
      <c r="R23" s="186"/>
      <c r="S23" s="186"/>
      <c r="T23" s="186"/>
      <c r="U23" s="186"/>
      <c r="V23" s="217"/>
    </row>
    <row r="24" spans="2:22" s="23" customFormat="1" ht="17.25" customHeight="1" outlineLevel="1">
      <c r="B24" s="641"/>
      <c r="C24" s="644"/>
      <c r="D24" s="646"/>
      <c r="E24" s="228" t="s">
        <v>123</v>
      </c>
      <c r="F24" s="317"/>
      <c r="G24" s="318"/>
      <c r="H24" s="318"/>
      <c r="I24" s="316" t="s">
        <v>129</v>
      </c>
      <c r="J24" s="317" t="s">
        <v>129</v>
      </c>
      <c r="K24" s="318"/>
      <c r="L24" s="319"/>
      <c r="M24" s="317"/>
      <c r="N24" s="318"/>
      <c r="O24" s="320"/>
      <c r="P24" s="211"/>
      <c r="Q24" s="186"/>
      <c r="R24" s="186"/>
      <c r="S24" s="186"/>
      <c r="T24" s="186"/>
      <c r="U24" s="186"/>
      <c r="V24" s="217"/>
    </row>
    <row r="25" spans="2:22" s="23" customFormat="1" ht="17.25" customHeight="1" outlineLevel="1">
      <c r="B25" s="641"/>
      <c r="C25" s="644"/>
      <c r="D25" s="646"/>
      <c r="E25" s="228" t="s">
        <v>25</v>
      </c>
      <c r="F25" s="317"/>
      <c r="G25" s="318"/>
      <c r="H25" s="318"/>
      <c r="I25" s="319">
        <v>0.64200000000000002</v>
      </c>
      <c r="J25" s="317">
        <v>0.65300000000000002</v>
      </c>
      <c r="K25" s="318"/>
      <c r="L25" s="319"/>
      <c r="M25" s="317"/>
      <c r="N25" s="318"/>
      <c r="O25" s="320"/>
      <c r="P25" s="211"/>
      <c r="Q25" s="186"/>
      <c r="R25" s="186"/>
      <c r="S25" s="186"/>
      <c r="T25" s="186"/>
      <c r="U25" s="186"/>
      <c r="V25" s="217"/>
    </row>
    <row r="26" spans="2:22" s="23" customFormat="1" ht="17.25" customHeight="1" outlineLevel="1">
      <c r="B26" s="641"/>
      <c r="C26" s="644"/>
      <c r="D26" s="646"/>
      <c r="E26" s="228" t="s">
        <v>27</v>
      </c>
      <c r="F26" s="317"/>
      <c r="G26" s="318"/>
      <c r="H26" s="318"/>
      <c r="I26" s="319">
        <v>0.46100000000000002</v>
      </c>
      <c r="J26" s="317">
        <v>0.52200000000000002</v>
      </c>
      <c r="K26" s="318"/>
      <c r="L26" s="319"/>
      <c r="M26" s="317"/>
      <c r="N26" s="318"/>
      <c r="O26" s="320"/>
      <c r="P26" s="211"/>
      <c r="Q26" s="186"/>
      <c r="R26" s="186"/>
      <c r="S26" s="186"/>
      <c r="T26" s="186"/>
      <c r="U26" s="186"/>
      <c r="V26" s="217"/>
    </row>
    <row r="27" spans="2:22" s="23" customFormat="1" ht="17.25" customHeight="1" outlineLevel="1">
      <c r="B27" s="641"/>
      <c r="C27" s="644"/>
      <c r="D27" s="646"/>
      <c r="E27" s="228" t="s">
        <v>29</v>
      </c>
      <c r="F27" s="317"/>
      <c r="G27" s="318"/>
      <c r="H27" s="318"/>
      <c r="I27" s="319">
        <v>0.63</v>
      </c>
      <c r="J27" s="317">
        <v>0.58699999999999997</v>
      </c>
      <c r="K27" s="318"/>
      <c r="L27" s="319"/>
      <c r="M27" s="317"/>
      <c r="N27" s="318"/>
      <c r="O27" s="320"/>
      <c r="P27" s="211"/>
      <c r="Q27" s="186"/>
      <c r="R27" s="186"/>
      <c r="S27" s="186"/>
      <c r="T27" s="186"/>
      <c r="U27" s="186"/>
      <c r="V27" s="217"/>
    </row>
    <row r="28" spans="2:22" s="23" customFormat="1" ht="17.25" customHeight="1" outlineLevel="1">
      <c r="B28" s="641"/>
      <c r="C28" s="644"/>
      <c r="D28" s="646"/>
      <c r="E28" s="228" t="s">
        <v>31</v>
      </c>
      <c r="F28" s="317"/>
      <c r="G28" s="318"/>
      <c r="H28" s="318"/>
      <c r="I28" s="319">
        <v>0.6</v>
      </c>
      <c r="J28" s="317">
        <v>0.54100000000000004</v>
      </c>
      <c r="K28" s="318"/>
      <c r="L28" s="319"/>
      <c r="M28" s="317"/>
      <c r="N28" s="318"/>
      <c r="O28" s="320"/>
      <c r="P28" s="211"/>
      <c r="Q28" s="186"/>
      <c r="R28" s="186"/>
      <c r="S28" s="186"/>
      <c r="T28" s="186"/>
      <c r="U28" s="186"/>
      <c r="V28" s="217"/>
    </row>
    <row r="29" spans="2:22" s="23" customFormat="1" ht="17.25" customHeight="1" outlineLevel="1">
      <c r="B29" s="641"/>
      <c r="C29" s="644" t="s">
        <v>130</v>
      </c>
      <c r="D29" s="214" t="s">
        <v>128</v>
      </c>
      <c r="E29" s="227" t="s">
        <v>120</v>
      </c>
      <c r="F29" s="312"/>
      <c r="G29" s="313"/>
      <c r="H29" s="313"/>
      <c r="I29" s="269"/>
      <c r="J29" s="312"/>
      <c r="K29" s="313"/>
      <c r="L29" s="269"/>
      <c r="M29" s="312"/>
      <c r="N29" s="313"/>
      <c r="O29" s="314"/>
      <c r="P29" s="210"/>
      <c r="Q29" s="187"/>
      <c r="R29" s="187"/>
      <c r="S29" s="187"/>
      <c r="T29" s="187"/>
      <c r="U29" s="187"/>
      <c r="V29" s="216"/>
    </row>
    <row r="30" spans="2:22" s="23" customFormat="1" ht="17.25" customHeight="1" outlineLevel="1">
      <c r="B30" s="641"/>
      <c r="C30" s="644"/>
      <c r="D30" s="645" t="s">
        <v>121</v>
      </c>
      <c r="E30" s="227" t="s">
        <v>120</v>
      </c>
      <c r="F30" s="312"/>
      <c r="G30" s="313"/>
      <c r="H30" s="313">
        <v>0.57799999999999996</v>
      </c>
      <c r="I30" s="269"/>
      <c r="J30" s="312"/>
      <c r="K30" s="313"/>
      <c r="L30" s="269"/>
      <c r="M30" s="312"/>
      <c r="N30" s="313"/>
      <c r="O30" s="314"/>
      <c r="P30" s="210"/>
      <c r="Q30" s="187"/>
      <c r="R30" s="187"/>
      <c r="S30" s="187"/>
      <c r="T30" s="187"/>
      <c r="U30" s="187"/>
      <c r="V30" s="216"/>
    </row>
    <row r="31" spans="2:22" s="23" customFormat="1" ht="17.25" customHeight="1" outlineLevel="1">
      <c r="B31" s="641"/>
      <c r="C31" s="644"/>
      <c r="D31" s="645"/>
      <c r="E31" s="227" t="s">
        <v>123</v>
      </c>
      <c r="F31" s="312"/>
      <c r="G31" s="313"/>
      <c r="H31" s="321"/>
      <c r="I31" s="269"/>
      <c r="J31" s="312"/>
      <c r="K31" s="313"/>
      <c r="L31" s="269"/>
      <c r="M31" s="312"/>
      <c r="N31" s="313"/>
      <c r="O31" s="314"/>
      <c r="P31" s="210"/>
      <c r="Q31" s="187"/>
      <c r="R31" s="187"/>
      <c r="S31" s="187"/>
      <c r="T31" s="187"/>
      <c r="U31" s="187"/>
      <c r="V31" s="216"/>
    </row>
    <row r="32" spans="2:22" s="23" customFormat="1" ht="17.25" customHeight="1" outlineLevel="1">
      <c r="B32" s="641"/>
      <c r="C32" s="644"/>
      <c r="D32" s="645"/>
      <c r="E32" s="227" t="s">
        <v>25</v>
      </c>
      <c r="F32" s="312"/>
      <c r="G32" s="313"/>
      <c r="H32" s="321"/>
      <c r="I32" s="269"/>
      <c r="J32" s="312"/>
      <c r="K32" s="313"/>
      <c r="L32" s="269"/>
      <c r="M32" s="312"/>
      <c r="N32" s="313"/>
      <c r="O32" s="314"/>
      <c r="P32" s="210"/>
      <c r="Q32" s="187"/>
      <c r="R32" s="187"/>
      <c r="S32" s="187"/>
      <c r="T32" s="187"/>
      <c r="U32" s="187"/>
      <c r="V32" s="216"/>
    </row>
    <row r="33" spans="2:28" s="23" customFormat="1" ht="17.25" customHeight="1" outlineLevel="1">
      <c r="B33" s="641"/>
      <c r="C33" s="644"/>
      <c r="D33" s="645"/>
      <c r="E33" s="227" t="s">
        <v>27</v>
      </c>
      <c r="F33" s="312"/>
      <c r="G33" s="313"/>
      <c r="H33" s="321"/>
      <c r="I33" s="269"/>
      <c r="J33" s="312"/>
      <c r="K33" s="313"/>
      <c r="L33" s="269"/>
      <c r="M33" s="312"/>
      <c r="N33" s="313"/>
      <c r="O33" s="314"/>
      <c r="P33" s="210"/>
      <c r="Q33" s="187"/>
      <c r="R33" s="187"/>
      <c r="S33" s="187"/>
      <c r="T33" s="187"/>
      <c r="U33" s="187"/>
      <c r="V33" s="216"/>
    </row>
    <row r="34" spans="2:28" s="23" customFormat="1" ht="17.25" customHeight="1" outlineLevel="1">
      <c r="B34" s="641"/>
      <c r="C34" s="644"/>
      <c r="D34" s="645"/>
      <c r="E34" s="227" t="s">
        <v>29</v>
      </c>
      <c r="F34" s="312"/>
      <c r="G34" s="313"/>
      <c r="H34" s="321"/>
      <c r="I34" s="269"/>
      <c r="J34" s="312"/>
      <c r="K34" s="313"/>
      <c r="L34" s="269"/>
      <c r="M34" s="312"/>
      <c r="N34" s="313"/>
      <c r="O34" s="314"/>
      <c r="P34" s="210"/>
      <c r="Q34" s="187"/>
      <c r="R34" s="187"/>
      <c r="S34" s="187"/>
      <c r="T34" s="187"/>
      <c r="U34" s="187"/>
      <c r="V34" s="216"/>
    </row>
    <row r="35" spans="2:28" s="23" customFormat="1" ht="17.25" customHeight="1" outlineLevel="1">
      <c r="B35" s="642"/>
      <c r="C35" s="647"/>
      <c r="D35" s="648"/>
      <c r="E35" s="234" t="s">
        <v>31</v>
      </c>
      <c r="F35" s="322"/>
      <c r="G35" s="323"/>
      <c r="H35" s="324"/>
      <c r="I35" s="325"/>
      <c r="J35" s="322"/>
      <c r="K35" s="323"/>
      <c r="L35" s="325"/>
      <c r="M35" s="322"/>
      <c r="N35" s="323"/>
      <c r="O35" s="326"/>
      <c r="P35" s="210"/>
      <c r="Q35" s="187"/>
      <c r="R35" s="187"/>
      <c r="S35" s="187"/>
      <c r="T35" s="187"/>
      <c r="U35" s="187"/>
      <c r="V35" s="216"/>
      <c r="X35" s="368" t="s">
        <v>131</v>
      </c>
      <c r="Y35" s="367"/>
      <c r="Z35" s="367"/>
      <c r="AA35" s="367"/>
      <c r="AB35" s="367"/>
    </row>
    <row r="36" spans="2:28" s="23" customFormat="1" ht="17.25" customHeight="1">
      <c r="B36" s="662" t="s">
        <v>95</v>
      </c>
      <c r="C36" s="665" t="s">
        <v>21</v>
      </c>
      <c r="D36" s="666" t="s">
        <v>132</v>
      </c>
      <c r="E36" s="235" t="s">
        <v>52</v>
      </c>
      <c r="F36" s="327"/>
      <c r="G36" s="328"/>
      <c r="H36" s="328">
        <v>0.4</v>
      </c>
      <c r="I36" s="329">
        <v>0.42499999999999999</v>
      </c>
      <c r="J36" s="330">
        <v>0.754</v>
      </c>
      <c r="K36" s="331"/>
      <c r="L36" s="329"/>
      <c r="M36" s="330"/>
      <c r="N36" s="331"/>
      <c r="O36" s="332"/>
      <c r="P36" s="211"/>
      <c r="Q36" s="186"/>
      <c r="R36" s="186"/>
      <c r="S36" s="186"/>
      <c r="T36" s="186"/>
      <c r="U36" s="186"/>
      <c r="V36" s="217"/>
      <c r="X36" s="367" t="s">
        <v>133</v>
      </c>
      <c r="Y36" s="367"/>
      <c r="Z36" s="367"/>
      <c r="AA36" s="367" t="s">
        <v>134</v>
      </c>
      <c r="AB36" s="367"/>
    </row>
    <row r="37" spans="2:28" s="23" customFormat="1" ht="17.25" customHeight="1">
      <c r="B37" s="663"/>
      <c r="C37" s="644"/>
      <c r="D37" s="667"/>
      <c r="E37" s="229" t="s">
        <v>46</v>
      </c>
      <c r="F37" s="333"/>
      <c r="G37" s="334"/>
      <c r="H37" s="334">
        <v>0.48</v>
      </c>
      <c r="I37" s="319">
        <v>0.52500000000000002</v>
      </c>
      <c r="J37" s="317">
        <v>0.51</v>
      </c>
      <c r="K37" s="318"/>
      <c r="L37" s="319"/>
      <c r="M37" s="317"/>
      <c r="N37" s="318"/>
      <c r="O37" s="320"/>
      <c r="P37" s="211"/>
      <c r="Q37" s="186"/>
      <c r="R37" s="186"/>
      <c r="S37" s="186"/>
      <c r="T37" s="186"/>
      <c r="U37" s="186"/>
      <c r="V37" s="217"/>
      <c r="X37" s="367" t="s">
        <v>135</v>
      </c>
      <c r="Y37" s="367"/>
      <c r="Z37" s="367"/>
      <c r="AA37" s="369" t="s">
        <v>136</v>
      </c>
      <c r="AB37" s="367"/>
    </row>
    <row r="38" spans="2:28" s="23" customFormat="1" ht="17.25" customHeight="1">
      <c r="B38" s="663"/>
      <c r="C38" s="644"/>
      <c r="D38" s="667"/>
      <c r="E38" s="229" t="s">
        <v>48</v>
      </c>
      <c r="F38" s="333"/>
      <c r="G38" s="334"/>
      <c r="H38" s="334">
        <v>0.49</v>
      </c>
      <c r="I38" s="395">
        <v>0.47499999999999998</v>
      </c>
      <c r="J38" s="399">
        <v>0.54100000000000004</v>
      </c>
      <c r="K38" s="318"/>
      <c r="L38" s="319"/>
      <c r="M38" s="317"/>
      <c r="N38" s="318"/>
      <c r="O38" s="320"/>
      <c r="P38" s="211"/>
      <c r="Q38" s="186"/>
      <c r="R38" s="186"/>
      <c r="S38" s="186"/>
      <c r="T38" s="186"/>
      <c r="U38" s="186"/>
      <c r="V38" s="217"/>
      <c r="X38" s="367" t="s">
        <v>137</v>
      </c>
      <c r="Y38" s="367"/>
      <c r="Z38" s="367"/>
      <c r="AA38" s="369" t="s">
        <v>138</v>
      </c>
      <c r="AB38" s="367"/>
    </row>
    <row r="39" spans="2:28" s="23" customFormat="1" ht="17.25" customHeight="1">
      <c r="B39" s="663"/>
      <c r="C39" s="644"/>
      <c r="D39" s="667"/>
      <c r="E39" s="229" t="s">
        <v>54</v>
      </c>
      <c r="F39" s="333"/>
      <c r="G39" s="334"/>
      <c r="H39" s="334">
        <v>0.5</v>
      </c>
      <c r="I39" s="319">
        <v>0.54700000000000004</v>
      </c>
      <c r="J39" s="317">
        <v>0.495</v>
      </c>
      <c r="K39" s="318"/>
      <c r="L39" s="319"/>
      <c r="M39" s="317"/>
      <c r="N39" s="318"/>
      <c r="O39" s="320"/>
      <c r="P39" s="211"/>
      <c r="Q39" s="186"/>
      <c r="R39" s="186"/>
      <c r="S39" s="186"/>
      <c r="T39" s="186"/>
      <c r="U39" s="186"/>
      <c r="V39" s="217"/>
      <c r="X39" s="367" t="s">
        <v>137</v>
      </c>
      <c r="Y39" s="367"/>
      <c r="Z39" s="367"/>
      <c r="AB39" s="367"/>
    </row>
    <row r="40" spans="2:28" s="23" customFormat="1" ht="17.25" customHeight="1">
      <c r="B40" s="663"/>
      <c r="C40" s="644"/>
      <c r="D40" s="667" t="s">
        <v>55</v>
      </c>
      <c r="E40" s="229" t="s">
        <v>56</v>
      </c>
      <c r="F40" s="333"/>
      <c r="G40" s="335"/>
      <c r="H40" s="334">
        <v>0.68</v>
      </c>
      <c r="I40" s="319">
        <v>0.75</v>
      </c>
      <c r="J40" s="402">
        <v>0.75</v>
      </c>
      <c r="K40" s="318"/>
      <c r="L40" s="319"/>
      <c r="M40" s="317"/>
      <c r="N40" s="318"/>
      <c r="O40" s="320"/>
      <c r="P40" s="211"/>
      <c r="Q40" s="186"/>
      <c r="R40" s="186"/>
      <c r="S40" s="186"/>
      <c r="T40" s="186"/>
      <c r="U40" s="186"/>
      <c r="V40" s="217"/>
      <c r="X40" s="367" t="s">
        <v>137</v>
      </c>
      <c r="Y40" s="367"/>
      <c r="Z40" s="367"/>
      <c r="AB40" s="367"/>
    </row>
    <row r="41" spans="2:28" s="23" customFormat="1" ht="17.25" customHeight="1">
      <c r="B41" s="663"/>
      <c r="C41" s="644"/>
      <c r="D41" s="667"/>
      <c r="E41" s="229" t="s">
        <v>59</v>
      </c>
      <c r="F41" s="333"/>
      <c r="G41" s="334"/>
      <c r="H41" s="334">
        <v>0.5</v>
      </c>
      <c r="I41" s="319">
        <v>1</v>
      </c>
      <c r="J41" s="402">
        <v>0.83299999999999996</v>
      </c>
      <c r="K41" s="318"/>
      <c r="L41" s="319"/>
      <c r="M41" s="317"/>
      <c r="N41" s="318"/>
      <c r="O41" s="320"/>
      <c r="P41" s="211"/>
      <c r="Q41" s="186"/>
      <c r="R41" s="186"/>
      <c r="S41" s="186"/>
      <c r="T41" s="186"/>
      <c r="U41" s="186"/>
      <c r="V41" s="217"/>
      <c r="X41" s="367" t="s">
        <v>137</v>
      </c>
      <c r="Y41" s="367"/>
      <c r="Z41" s="367"/>
      <c r="AB41" s="367"/>
    </row>
    <row r="42" spans="2:28" s="23" customFormat="1" ht="17.25" customHeight="1">
      <c r="B42" s="663"/>
      <c r="C42" s="644"/>
      <c r="D42" s="667" t="s">
        <v>60</v>
      </c>
      <c r="E42" s="229" t="s">
        <v>61</v>
      </c>
      <c r="F42" s="333"/>
      <c r="G42" s="335"/>
      <c r="H42" s="334">
        <v>0.45850000000000002</v>
      </c>
      <c r="I42" s="319">
        <v>0.48399999999999999</v>
      </c>
      <c r="J42" s="317">
        <v>0.57850000000000001</v>
      </c>
      <c r="K42" s="318"/>
      <c r="L42" s="319"/>
      <c r="M42" s="317"/>
      <c r="N42" s="318"/>
      <c r="O42" s="320"/>
      <c r="P42" s="211"/>
      <c r="Q42" s="186"/>
      <c r="R42" s="186"/>
      <c r="S42" s="186"/>
      <c r="T42" s="186"/>
      <c r="U42" s="186"/>
      <c r="V42" s="217"/>
      <c r="X42" s="367" t="s">
        <v>137</v>
      </c>
      <c r="Y42" s="367"/>
      <c r="Z42" s="367"/>
      <c r="AB42" s="367"/>
    </row>
    <row r="43" spans="2:28" s="23" customFormat="1" ht="17.25" customHeight="1">
      <c r="B43" s="663"/>
      <c r="C43" s="644"/>
      <c r="D43" s="667"/>
      <c r="E43" s="229" t="s">
        <v>63</v>
      </c>
      <c r="F43" s="333"/>
      <c r="G43" s="334"/>
      <c r="H43" s="334">
        <v>0.51149999999999995</v>
      </c>
      <c r="I43" s="395">
        <v>0.5</v>
      </c>
      <c r="J43" s="406" t="s">
        <v>139</v>
      </c>
      <c r="K43" s="318"/>
      <c r="L43" s="319"/>
      <c r="M43" s="317"/>
      <c r="N43" s="318"/>
      <c r="O43" s="320"/>
      <c r="P43" s="211"/>
      <c r="Q43" s="186"/>
      <c r="R43" s="186"/>
      <c r="S43" s="186"/>
      <c r="T43" s="186"/>
      <c r="U43" s="186"/>
      <c r="V43" s="217"/>
      <c r="X43" s="367" t="s">
        <v>137</v>
      </c>
      <c r="Y43" s="367"/>
      <c r="Z43" s="367"/>
      <c r="AA43" s="367"/>
      <c r="AB43" s="367"/>
    </row>
    <row r="44" spans="2:28" s="23" customFormat="1" ht="17.25" customHeight="1">
      <c r="B44" s="663"/>
      <c r="C44" s="644"/>
      <c r="D44" s="668" t="s">
        <v>140</v>
      </c>
      <c r="E44" s="230" t="s">
        <v>65</v>
      </c>
      <c r="F44" s="312"/>
      <c r="G44" s="313"/>
      <c r="H44" s="313">
        <v>0.74</v>
      </c>
      <c r="I44" s="269">
        <v>0.95</v>
      </c>
      <c r="J44" s="404" t="s">
        <v>129</v>
      </c>
      <c r="K44" s="313"/>
      <c r="L44" s="269"/>
      <c r="M44" s="312"/>
      <c r="N44" s="313"/>
      <c r="O44" s="314"/>
      <c r="P44" s="210"/>
      <c r="Q44" s="187"/>
      <c r="R44" s="187"/>
      <c r="S44" s="187"/>
      <c r="T44" s="187"/>
      <c r="U44" s="187"/>
      <c r="V44" s="216"/>
      <c r="X44" s="367" t="s">
        <v>141</v>
      </c>
      <c r="Y44" s="367"/>
      <c r="Z44" s="367"/>
      <c r="AA44" s="367"/>
      <c r="AB44" s="367"/>
    </row>
    <row r="45" spans="2:28" s="23" customFormat="1" ht="17.25" customHeight="1">
      <c r="B45" s="663"/>
      <c r="C45" s="644"/>
      <c r="D45" s="668"/>
      <c r="E45" s="230" t="s">
        <v>66</v>
      </c>
      <c r="F45" s="312"/>
      <c r="G45" s="313"/>
      <c r="H45" s="313">
        <v>0.22</v>
      </c>
      <c r="I45" s="394">
        <v>0.51</v>
      </c>
      <c r="J45" s="396">
        <v>0.56999999999999995</v>
      </c>
      <c r="K45" s="313"/>
      <c r="L45" s="269"/>
      <c r="M45" s="312"/>
      <c r="N45" s="313"/>
      <c r="O45" s="314"/>
      <c r="P45" s="210"/>
      <c r="Q45" s="187"/>
      <c r="R45" s="187"/>
      <c r="S45" s="187"/>
      <c r="T45" s="187"/>
      <c r="U45" s="187"/>
      <c r="V45" s="216"/>
      <c r="X45" s="367" t="s">
        <v>137</v>
      </c>
      <c r="Y45" s="367"/>
      <c r="Z45" s="367"/>
      <c r="AA45" s="367"/>
      <c r="AB45" s="367"/>
    </row>
    <row r="46" spans="2:28" s="23" customFormat="1" ht="17.25" customHeight="1">
      <c r="B46" s="663"/>
      <c r="C46" s="644"/>
      <c r="D46" s="668"/>
      <c r="E46" s="230" t="s">
        <v>68</v>
      </c>
      <c r="F46" s="312"/>
      <c r="G46" s="313"/>
      <c r="H46" s="313">
        <v>0.21</v>
      </c>
      <c r="I46" s="394">
        <v>0.4</v>
      </c>
      <c r="J46" s="396">
        <v>0.4</v>
      </c>
      <c r="K46" s="313"/>
      <c r="L46" s="269"/>
      <c r="M46" s="312"/>
      <c r="N46" s="313"/>
      <c r="O46" s="314"/>
      <c r="P46" s="210"/>
      <c r="Q46" s="187"/>
      <c r="R46" s="187"/>
      <c r="S46" s="187"/>
      <c r="T46" s="187"/>
      <c r="U46" s="187"/>
      <c r="V46" s="216"/>
      <c r="X46" s="367" t="s">
        <v>137</v>
      </c>
      <c r="Y46" s="367"/>
      <c r="Z46" s="367"/>
      <c r="AA46" s="367"/>
      <c r="AB46" s="367"/>
    </row>
    <row r="47" spans="2:28" s="23" customFormat="1" ht="17.25" customHeight="1">
      <c r="B47" s="663"/>
      <c r="C47" s="644"/>
      <c r="D47" s="668"/>
      <c r="E47" s="230" t="s">
        <v>69</v>
      </c>
      <c r="F47" s="312"/>
      <c r="G47" s="313"/>
      <c r="H47" s="313">
        <v>0.03</v>
      </c>
      <c r="I47" s="395">
        <v>0.31</v>
      </c>
      <c r="J47" s="397">
        <v>0.31</v>
      </c>
      <c r="K47" s="318"/>
      <c r="L47" s="319"/>
      <c r="M47" s="317"/>
      <c r="N47" s="318"/>
      <c r="O47" s="320"/>
      <c r="P47" s="211"/>
      <c r="Q47" s="186"/>
      <c r="R47" s="186"/>
      <c r="S47" s="186"/>
      <c r="T47" s="186"/>
      <c r="U47" s="186"/>
      <c r="V47" s="217"/>
      <c r="X47" s="367" t="s">
        <v>137</v>
      </c>
      <c r="Y47" s="367"/>
      <c r="Z47" s="367"/>
      <c r="AA47" s="367"/>
      <c r="AB47" s="367"/>
    </row>
    <row r="48" spans="2:28" s="23" customFormat="1" ht="17.25" customHeight="1" outlineLevel="1">
      <c r="B48" s="663"/>
      <c r="C48" s="644" t="s">
        <v>91</v>
      </c>
      <c r="D48" s="667" t="s">
        <v>51</v>
      </c>
      <c r="E48" s="229" t="s">
        <v>52</v>
      </c>
      <c r="F48" s="333"/>
      <c r="G48" s="334"/>
      <c r="H48" s="338"/>
      <c r="I48" s="338">
        <v>0.34100000000000003</v>
      </c>
      <c r="J48" s="405">
        <f>(165+217)/660</f>
        <v>0.57878787878787874</v>
      </c>
      <c r="K48" s="336"/>
      <c r="L48" s="338"/>
      <c r="M48" s="339"/>
      <c r="N48" s="334"/>
      <c r="O48" s="340"/>
      <c r="P48" s="212"/>
      <c r="Q48" s="189"/>
      <c r="R48" s="190"/>
      <c r="S48" s="190"/>
      <c r="T48" s="189"/>
      <c r="U48" s="189"/>
      <c r="V48" s="222"/>
      <c r="X48" s="367" t="s">
        <v>142</v>
      </c>
      <c r="Y48" s="367"/>
      <c r="Z48" s="367"/>
      <c r="AA48" s="367"/>
      <c r="AB48" s="367"/>
    </row>
    <row r="49" spans="2:28" s="23" customFormat="1" ht="17.25" customHeight="1" outlineLevel="1">
      <c r="B49" s="663"/>
      <c r="C49" s="644"/>
      <c r="D49" s="667"/>
      <c r="E49" s="229" t="s">
        <v>46</v>
      </c>
      <c r="F49" s="333"/>
      <c r="G49" s="334"/>
      <c r="H49" s="336"/>
      <c r="I49" s="338">
        <v>0.55000000000000004</v>
      </c>
      <c r="J49" s="366">
        <v>0.70699999999999996</v>
      </c>
      <c r="K49" s="336"/>
      <c r="L49" s="338"/>
      <c r="M49" s="339"/>
      <c r="N49" s="334"/>
      <c r="O49" s="340"/>
      <c r="P49" s="212"/>
      <c r="Q49" s="189"/>
      <c r="R49" s="190"/>
      <c r="S49" s="190"/>
      <c r="T49" s="189"/>
      <c r="U49" s="189"/>
      <c r="V49" s="222"/>
      <c r="X49" s="367" t="s">
        <v>137</v>
      </c>
      <c r="Y49" s="367"/>
      <c r="Z49" s="367"/>
      <c r="AA49" s="367"/>
      <c r="AB49" s="367"/>
    </row>
    <row r="50" spans="2:28" s="23" customFormat="1" ht="17.25" customHeight="1" outlineLevel="1">
      <c r="B50" s="663"/>
      <c r="C50" s="644"/>
      <c r="D50" s="667"/>
      <c r="E50" s="229" t="s">
        <v>48</v>
      </c>
      <c r="F50" s="333"/>
      <c r="G50" s="334"/>
      <c r="H50" s="336"/>
      <c r="I50" s="338">
        <v>0.47899999999999998</v>
      </c>
      <c r="J50" s="366">
        <v>0.73640000000000005</v>
      </c>
      <c r="K50" s="336"/>
      <c r="L50" s="338"/>
      <c r="M50" s="339"/>
      <c r="N50" s="334"/>
      <c r="O50" s="340"/>
      <c r="P50" s="212"/>
      <c r="Q50" s="189"/>
      <c r="R50" s="190"/>
      <c r="S50" s="190"/>
      <c r="T50" s="189"/>
      <c r="U50" s="189"/>
      <c r="V50" s="222"/>
      <c r="X50" s="367" t="s">
        <v>137</v>
      </c>
      <c r="Y50" s="367"/>
      <c r="Z50" s="367"/>
      <c r="AA50" s="367"/>
      <c r="AB50" s="367"/>
    </row>
    <row r="51" spans="2:28" s="23" customFormat="1" ht="17.25" customHeight="1" outlineLevel="1">
      <c r="B51" s="663"/>
      <c r="C51" s="644"/>
      <c r="D51" s="667"/>
      <c r="E51" s="229" t="s">
        <v>54</v>
      </c>
      <c r="F51" s="333"/>
      <c r="G51" s="334"/>
      <c r="H51" s="336"/>
      <c r="I51" s="338">
        <v>0.79500000000000004</v>
      </c>
      <c r="J51" s="366">
        <v>0.79800000000000004</v>
      </c>
      <c r="K51" s="336"/>
      <c r="L51" s="338"/>
      <c r="M51" s="339"/>
      <c r="N51" s="334"/>
      <c r="O51" s="340"/>
      <c r="P51" s="212"/>
      <c r="Q51" s="189"/>
      <c r="R51" s="190"/>
      <c r="S51" s="190"/>
      <c r="T51" s="189"/>
      <c r="U51" s="189"/>
      <c r="V51" s="222"/>
      <c r="X51" s="367" t="s">
        <v>137</v>
      </c>
      <c r="Y51" s="367"/>
      <c r="Z51" s="367"/>
      <c r="AA51" s="367"/>
      <c r="AB51" s="367"/>
    </row>
    <row r="52" spans="2:28" s="23" customFormat="1" ht="17.25" customHeight="1" outlineLevel="1">
      <c r="B52" s="663"/>
      <c r="C52" s="644"/>
      <c r="D52" s="667" t="s">
        <v>55</v>
      </c>
      <c r="E52" s="229" t="s">
        <v>56</v>
      </c>
      <c r="F52" s="333"/>
      <c r="G52" s="335"/>
      <c r="H52" s="336"/>
      <c r="I52" s="338">
        <v>1</v>
      </c>
      <c r="J52" s="403">
        <v>1</v>
      </c>
      <c r="K52" s="341"/>
      <c r="L52" s="342"/>
      <c r="M52" s="339"/>
      <c r="N52" s="334"/>
      <c r="O52" s="340"/>
      <c r="P52" s="213"/>
      <c r="Q52" s="189"/>
      <c r="R52" s="191"/>
      <c r="S52" s="190"/>
      <c r="T52" s="195"/>
      <c r="U52" s="195"/>
      <c r="V52" s="223"/>
      <c r="X52" s="367" t="s">
        <v>137</v>
      </c>
      <c r="Y52" s="367"/>
      <c r="Z52" s="367"/>
      <c r="AA52" s="367"/>
      <c r="AB52" s="367"/>
    </row>
    <row r="53" spans="2:28" s="23" customFormat="1" ht="17.25" customHeight="1" outlineLevel="1">
      <c r="B53" s="663"/>
      <c r="C53" s="644"/>
      <c r="D53" s="667"/>
      <c r="E53" s="229" t="s">
        <v>59</v>
      </c>
      <c r="F53" s="333"/>
      <c r="G53" s="334"/>
      <c r="H53" s="336"/>
      <c r="I53" s="338">
        <v>1</v>
      </c>
      <c r="J53" s="403">
        <v>1</v>
      </c>
      <c r="K53" s="336"/>
      <c r="L53" s="338"/>
      <c r="M53" s="339"/>
      <c r="N53" s="334"/>
      <c r="O53" s="340"/>
      <c r="P53" s="212"/>
      <c r="Q53" s="189"/>
      <c r="R53" s="191"/>
      <c r="S53" s="190"/>
      <c r="T53" s="189"/>
      <c r="U53" s="189"/>
      <c r="V53" s="223"/>
      <c r="X53" s="367" t="s">
        <v>137</v>
      </c>
      <c r="Y53" s="367"/>
      <c r="Z53" s="367"/>
      <c r="AA53" s="367"/>
      <c r="AB53" s="367"/>
    </row>
    <row r="54" spans="2:28" s="23" customFormat="1" ht="17.25" customHeight="1" outlineLevel="1">
      <c r="B54" s="663"/>
      <c r="C54" s="644"/>
      <c r="D54" s="667" t="s">
        <v>60</v>
      </c>
      <c r="E54" s="229" t="s">
        <v>61</v>
      </c>
      <c r="F54" s="333"/>
      <c r="G54" s="335"/>
      <c r="H54" s="336"/>
      <c r="I54" s="338">
        <v>0.58799999999999997</v>
      </c>
      <c r="J54" s="366">
        <v>0.70499999999999996</v>
      </c>
      <c r="K54" s="336"/>
      <c r="L54" s="338"/>
      <c r="M54" s="339"/>
      <c r="N54" s="334"/>
      <c r="O54" s="340"/>
      <c r="P54" s="213"/>
      <c r="Q54" s="189"/>
      <c r="R54" s="191"/>
      <c r="S54" s="190"/>
      <c r="T54" s="189"/>
      <c r="U54" s="189"/>
      <c r="V54" s="223"/>
      <c r="X54" s="367" t="s">
        <v>137</v>
      </c>
      <c r="Y54" s="367"/>
      <c r="Z54" s="367"/>
      <c r="AA54" s="367"/>
      <c r="AB54" s="367"/>
    </row>
    <row r="55" spans="2:28" s="23" customFormat="1" ht="17.25" customHeight="1" outlineLevel="1">
      <c r="B55" s="663"/>
      <c r="C55" s="644"/>
      <c r="D55" s="667"/>
      <c r="E55" s="229" t="s">
        <v>63</v>
      </c>
      <c r="F55" s="333"/>
      <c r="G55" s="334"/>
      <c r="H55" s="336"/>
      <c r="I55" s="398">
        <v>0.94099999999999995</v>
      </c>
      <c r="J55" s="406" t="s">
        <v>139</v>
      </c>
      <c r="K55" s="336"/>
      <c r="L55" s="338"/>
      <c r="M55" s="337"/>
      <c r="N55" s="334"/>
      <c r="O55" s="340"/>
      <c r="P55" s="212"/>
      <c r="Q55" s="189"/>
      <c r="R55" s="191"/>
      <c r="S55" s="190"/>
      <c r="T55" s="189"/>
      <c r="U55" s="189"/>
      <c r="V55" s="218"/>
      <c r="X55" s="367" t="s">
        <v>137</v>
      </c>
      <c r="Y55" s="367"/>
      <c r="Z55" s="367"/>
      <c r="AA55" s="367"/>
      <c r="AB55" s="367"/>
    </row>
    <row r="56" spans="2:28" s="23" customFormat="1" ht="17.25" customHeight="1" outlineLevel="1">
      <c r="B56" s="663"/>
      <c r="C56" s="644"/>
      <c r="D56" s="667" t="s">
        <v>64</v>
      </c>
      <c r="E56" s="229" t="s">
        <v>65</v>
      </c>
      <c r="F56" s="333"/>
      <c r="G56" s="334"/>
      <c r="H56" s="336"/>
      <c r="I56" s="338">
        <v>0.95</v>
      </c>
      <c r="J56" s="366">
        <v>0.95</v>
      </c>
      <c r="K56" s="336"/>
      <c r="L56" s="338"/>
      <c r="M56" s="337"/>
      <c r="N56" s="334"/>
      <c r="O56" s="340"/>
      <c r="P56" s="212"/>
      <c r="Q56" s="189"/>
      <c r="R56" s="191"/>
      <c r="S56" s="190"/>
      <c r="T56" s="189"/>
      <c r="U56" s="189"/>
      <c r="V56" s="218"/>
      <c r="X56" s="367" t="s">
        <v>141</v>
      </c>
      <c r="Y56" s="367"/>
      <c r="Z56" s="367"/>
      <c r="AA56" s="367"/>
      <c r="AB56" s="367"/>
    </row>
    <row r="57" spans="2:28" s="23" customFormat="1" ht="17.25" customHeight="1" outlineLevel="1">
      <c r="B57" s="663"/>
      <c r="C57" s="644"/>
      <c r="D57" s="667"/>
      <c r="E57" s="229" t="s">
        <v>66</v>
      </c>
      <c r="F57" s="333"/>
      <c r="G57" s="334"/>
      <c r="H57" s="336"/>
      <c r="I57" s="398">
        <v>0.51</v>
      </c>
      <c r="J57" s="396">
        <v>0.56999999999999995</v>
      </c>
      <c r="K57" s="336"/>
      <c r="L57" s="338"/>
      <c r="M57" s="339"/>
      <c r="N57" s="334"/>
      <c r="O57" s="340"/>
      <c r="P57" s="212"/>
      <c r="Q57" s="189"/>
      <c r="R57" s="191"/>
      <c r="S57" s="190"/>
      <c r="T57" s="189"/>
      <c r="U57" s="189"/>
      <c r="V57" s="223"/>
      <c r="X57" s="367" t="s">
        <v>137</v>
      </c>
      <c r="Y57" s="367"/>
      <c r="Z57" s="367"/>
      <c r="AA57" s="367"/>
      <c r="AB57" s="367"/>
    </row>
    <row r="58" spans="2:28" s="23" customFormat="1" ht="17.25" customHeight="1" outlineLevel="1">
      <c r="B58" s="663"/>
      <c r="C58" s="644"/>
      <c r="D58" s="667"/>
      <c r="E58" s="229" t="s">
        <v>68</v>
      </c>
      <c r="F58" s="333"/>
      <c r="G58" s="334"/>
      <c r="H58" s="336"/>
      <c r="I58" s="398">
        <v>0.4</v>
      </c>
      <c r="J58" s="396">
        <v>0.4</v>
      </c>
      <c r="K58" s="336"/>
      <c r="L58" s="338"/>
      <c r="M58" s="339"/>
      <c r="N58" s="334"/>
      <c r="O58" s="340"/>
      <c r="P58" s="212"/>
      <c r="Q58" s="189"/>
      <c r="R58" s="191"/>
      <c r="S58" s="190"/>
      <c r="T58" s="189"/>
      <c r="U58" s="189"/>
      <c r="V58" s="223"/>
      <c r="X58" s="367" t="s">
        <v>137</v>
      </c>
      <c r="Y58" s="367"/>
      <c r="Z58" s="367"/>
      <c r="AA58" s="367"/>
      <c r="AB58" s="367"/>
    </row>
    <row r="59" spans="2:28" s="23" customFormat="1" ht="17.25" customHeight="1" outlineLevel="1">
      <c r="B59" s="663"/>
      <c r="C59" s="644"/>
      <c r="D59" s="667"/>
      <c r="E59" s="229" t="s">
        <v>69</v>
      </c>
      <c r="F59" s="333"/>
      <c r="G59" s="334"/>
      <c r="H59" s="336"/>
      <c r="I59" s="398">
        <v>0.31</v>
      </c>
      <c r="J59" s="397">
        <v>0.31</v>
      </c>
      <c r="K59" s="336"/>
      <c r="L59" s="338"/>
      <c r="M59" s="339"/>
      <c r="N59" s="334"/>
      <c r="O59" s="340"/>
      <c r="P59" s="212"/>
      <c r="Q59" s="189"/>
      <c r="R59" s="191"/>
      <c r="S59" s="190"/>
      <c r="T59" s="189"/>
      <c r="U59" s="189"/>
      <c r="V59" s="223"/>
      <c r="X59" s="367" t="s">
        <v>137</v>
      </c>
      <c r="Y59" s="367"/>
      <c r="Z59" s="367"/>
      <c r="AA59" s="367"/>
      <c r="AB59" s="367"/>
    </row>
    <row r="60" spans="2:28" s="23" customFormat="1" ht="17.25" customHeight="1" outlineLevel="1">
      <c r="B60" s="663"/>
      <c r="C60" s="644" t="s">
        <v>92</v>
      </c>
      <c r="D60" s="667" t="s">
        <v>51</v>
      </c>
      <c r="E60" s="229" t="s">
        <v>52</v>
      </c>
      <c r="F60" s="333"/>
      <c r="G60" s="334"/>
      <c r="H60" s="336"/>
      <c r="I60" s="338"/>
      <c r="J60" s="337"/>
      <c r="K60" s="336"/>
      <c r="L60" s="338"/>
      <c r="M60" s="339"/>
      <c r="N60" s="334"/>
      <c r="O60" s="340"/>
      <c r="P60" s="212"/>
      <c r="Q60" s="189"/>
      <c r="R60" s="190"/>
      <c r="S60" s="190"/>
      <c r="T60" s="189"/>
      <c r="U60" s="189"/>
      <c r="V60" s="222"/>
      <c r="X60" s="367"/>
      <c r="Y60" s="367"/>
      <c r="Z60" s="367"/>
      <c r="AA60" s="367"/>
      <c r="AB60" s="367"/>
    </row>
    <row r="61" spans="2:28" s="23" customFormat="1" ht="17.25" customHeight="1" outlineLevel="1">
      <c r="B61" s="663"/>
      <c r="C61" s="644"/>
      <c r="D61" s="667"/>
      <c r="E61" s="229" t="s">
        <v>46</v>
      </c>
      <c r="F61" s="333"/>
      <c r="G61" s="334"/>
      <c r="H61" s="336"/>
      <c r="I61" s="338"/>
      <c r="J61" s="337"/>
      <c r="K61" s="336"/>
      <c r="L61" s="338"/>
      <c r="M61" s="339"/>
      <c r="N61" s="334"/>
      <c r="O61" s="340"/>
      <c r="P61" s="212"/>
      <c r="Q61" s="189"/>
      <c r="R61" s="190"/>
      <c r="S61" s="190"/>
      <c r="T61" s="189"/>
      <c r="U61" s="189"/>
      <c r="V61" s="222"/>
      <c r="X61" s="367"/>
      <c r="Y61" s="367"/>
      <c r="Z61" s="367"/>
      <c r="AA61" s="367"/>
      <c r="AB61" s="367"/>
    </row>
    <row r="62" spans="2:28" s="23" customFormat="1" ht="17.25" customHeight="1" outlineLevel="1">
      <c r="B62" s="663"/>
      <c r="C62" s="644"/>
      <c r="D62" s="667"/>
      <c r="E62" s="229" t="s">
        <v>48</v>
      </c>
      <c r="F62" s="333"/>
      <c r="G62" s="334"/>
      <c r="H62" s="336"/>
      <c r="I62" s="338"/>
      <c r="J62" s="337"/>
      <c r="K62" s="336"/>
      <c r="L62" s="338"/>
      <c r="M62" s="339"/>
      <c r="N62" s="334"/>
      <c r="O62" s="340"/>
      <c r="P62" s="212"/>
      <c r="Q62" s="189"/>
      <c r="R62" s="190"/>
      <c r="S62" s="190"/>
      <c r="T62" s="189"/>
      <c r="U62" s="189"/>
      <c r="V62" s="222"/>
      <c r="X62" s="367"/>
      <c r="Y62" s="367"/>
      <c r="Z62" s="367"/>
      <c r="AA62" s="367"/>
      <c r="AB62" s="367"/>
    </row>
    <row r="63" spans="2:28" s="23" customFormat="1" ht="17.25" customHeight="1" outlineLevel="1">
      <c r="B63" s="663"/>
      <c r="C63" s="644"/>
      <c r="D63" s="667"/>
      <c r="E63" s="229" t="s">
        <v>54</v>
      </c>
      <c r="F63" s="333"/>
      <c r="G63" s="334"/>
      <c r="H63" s="336"/>
      <c r="I63" s="338"/>
      <c r="J63" s="337"/>
      <c r="K63" s="336"/>
      <c r="L63" s="338"/>
      <c r="M63" s="339"/>
      <c r="N63" s="334"/>
      <c r="O63" s="340"/>
      <c r="P63" s="212"/>
      <c r="Q63" s="189"/>
      <c r="R63" s="190"/>
      <c r="S63" s="190"/>
      <c r="T63" s="189"/>
      <c r="U63" s="189"/>
      <c r="V63" s="222"/>
      <c r="X63" s="367"/>
      <c r="Y63" s="367"/>
      <c r="Z63" s="367"/>
      <c r="AA63" s="367"/>
      <c r="AB63" s="367"/>
    </row>
    <row r="64" spans="2:28" s="23" customFormat="1" ht="17.25" customHeight="1" outlineLevel="1">
      <c r="B64" s="663"/>
      <c r="C64" s="644"/>
      <c r="D64" s="667" t="s">
        <v>55</v>
      </c>
      <c r="E64" s="229" t="s">
        <v>56</v>
      </c>
      <c r="F64" s="333"/>
      <c r="G64" s="335"/>
      <c r="H64" s="336"/>
      <c r="I64" s="338"/>
      <c r="J64" s="337"/>
      <c r="K64" s="341"/>
      <c r="L64" s="342"/>
      <c r="M64" s="339"/>
      <c r="N64" s="334"/>
      <c r="O64" s="340"/>
      <c r="P64" s="213"/>
      <c r="Q64" s="189"/>
      <c r="R64" s="191"/>
      <c r="S64" s="190"/>
      <c r="T64" s="195"/>
      <c r="U64" s="195"/>
      <c r="V64" s="223"/>
      <c r="X64" s="367"/>
      <c r="Y64" s="367"/>
      <c r="Z64" s="367"/>
      <c r="AA64" s="367"/>
      <c r="AB64" s="367"/>
    </row>
    <row r="65" spans="1:28" s="23" customFormat="1" ht="17.25" customHeight="1" outlineLevel="1">
      <c r="B65" s="663"/>
      <c r="C65" s="644"/>
      <c r="D65" s="667"/>
      <c r="E65" s="229" t="s">
        <v>59</v>
      </c>
      <c r="F65" s="333"/>
      <c r="G65" s="334"/>
      <c r="H65" s="336"/>
      <c r="I65" s="338"/>
      <c r="J65" s="337"/>
      <c r="K65" s="336"/>
      <c r="L65" s="338"/>
      <c r="M65" s="339"/>
      <c r="N65" s="334"/>
      <c r="O65" s="340"/>
      <c r="P65" s="212"/>
      <c r="Q65" s="189"/>
      <c r="R65" s="191"/>
      <c r="S65" s="190"/>
      <c r="T65" s="189"/>
      <c r="U65" s="189"/>
      <c r="V65" s="223"/>
      <c r="X65" s="367"/>
      <c r="Y65" s="367"/>
      <c r="Z65" s="367"/>
      <c r="AA65" s="367"/>
      <c r="AB65" s="367"/>
    </row>
    <row r="66" spans="1:28" s="23" customFormat="1" ht="17.25" customHeight="1" outlineLevel="1">
      <c r="B66" s="663"/>
      <c r="C66" s="644"/>
      <c r="D66" s="667" t="s">
        <v>60</v>
      </c>
      <c r="E66" s="229" t="s">
        <v>61</v>
      </c>
      <c r="F66" s="333"/>
      <c r="G66" s="335"/>
      <c r="H66" s="336"/>
      <c r="I66" s="338"/>
      <c r="J66" s="337"/>
      <c r="K66" s="336"/>
      <c r="L66" s="338"/>
      <c r="M66" s="339"/>
      <c r="N66" s="334"/>
      <c r="O66" s="340"/>
      <c r="P66" s="213"/>
      <c r="Q66" s="189"/>
      <c r="R66" s="191"/>
      <c r="S66" s="190"/>
      <c r="T66" s="189"/>
      <c r="U66" s="189"/>
      <c r="V66" s="223"/>
      <c r="X66" s="367"/>
      <c r="Y66" s="367"/>
      <c r="Z66" s="367"/>
      <c r="AA66" s="367"/>
      <c r="AB66" s="367"/>
    </row>
    <row r="67" spans="1:28" s="23" customFormat="1" ht="17.25" customHeight="1" outlineLevel="1">
      <c r="B67" s="663"/>
      <c r="C67" s="644"/>
      <c r="D67" s="667"/>
      <c r="E67" s="229" t="s">
        <v>63</v>
      </c>
      <c r="F67" s="333"/>
      <c r="G67" s="334"/>
      <c r="H67" s="336"/>
      <c r="I67" s="338"/>
      <c r="J67" s="337"/>
      <c r="K67" s="336"/>
      <c r="L67" s="338"/>
      <c r="M67" s="337"/>
      <c r="N67" s="334"/>
      <c r="O67" s="340"/>
      <c r="P67" s="212"/>
      <c r="Q67" s="189"/>
      <c r="R67" s="191"/>
      <c r="S67" s="190"/>
      <c r="T67" s="189"/>
      <c r="U67" s="189"/>
      <c r="V67" s="218"/>
      <c r="X67" s="367"/>
      <c r="Y67" s="367"/>
      <c r="Z67" s="367"/>
      <c r="AA67" s="367"/>
      <c r="AB67" s="367"/>
    </row>
    <row r="68" spans="1:28" s="23" customFormat="1" ht="17.25" customHeight="1" outlineLevel="1">
      <c r="B68" s="663"/>
      <c r="C68" s="644"/>
      <c r="D68" s="667" t="s">
        <v>64</v>
      </c>
      <c r="E68" s="229" t="s">
        <v>65</v>
      </c>
      <c r="F68" s="333"/>
      <c r="G68" s="334"/>
      <c r="H68" s="336"/>
      <c r="I68" s="338"/>
      <c r="J68" s="337"/>
      <c r="K68" s="336"/>
      <c r="L68" s="338"/>
      <c r="M68" s="337"/>
      <c r="N68" s="334"/>
      <c r="O68" s="340"/>
      <c r="P68" s="212"/>
      <c r="Q68" s="189"/>
      <c r="R68" s="191"/>
      <c r="S68" s="190"/>
      <c r="T68" s="189"/>
      <c r="U68" s="189"/>
      <c r="V68" s="218"/>
      <c r="X68" s="367"/>
      <c r="Y68" s="367"/>
      <c r="Z68" s="367"/>
      <c r="AA68" s="367"/>
      <c r="AB68" s="367"/>
    </row>
    <row r="69" spans="1:28" s="23" customFormat="1" ht="17.25" customHeight="1" outlineLevel="1">
      <c r="B69" s="663"/>
      <c r="C69" s="644"/>
      <c r="D69" s="667"/>
      <c r="E69" s="229" t="s">
        <v>66</v>
      </c>
      <c r="F69" s="333"/>
      <c r="G69" s="334"/>
      <c r="H69" s="336"/>
      <c r="I69" s="338"/>
      <c r="J69" s="337"/>
      <c r="K69" s="336"/>
      <c r="L69" s="338"/>
      <c r="M69" s="339"/>
      <c r="N69" s="334"/>
      <c r="O69" s="340"/>
      <c r="P69" s="212"/>
      <c r="Q69" s="189"/>
      <c r="R69" s="191"/>
      <c r="S69" s="190"/>
      <c r="T69" s="189"/>
      <c r="U69" s="189"/>
      <c r="V69" s="223"/>
      <c r="X69" s="367"/>
      <c r="Y69" s="367"/>
      <c r="Z69" s="367"/>
      <c r="AA69" s="367"/>
      <c r="AB69" s="367"/>
    </row>
    <row r="70" spans="1:28" s="23" customFormat="1" ht="17.25" customHeight="1" outlineLevel="1">
      <c r="B70" s="664"/>
      <c r="C70" s="669"/>
      <c r="D70" s="670"/>
      <c r="E70" s="231" t="s">
        <v>68</v>
      </c>
      <c r="F70" s="343"/>
      <c r="G70" s="344"/>
      <c r="H70" s="345"/>
      <c r="I70" s="347"/>
      <c r="J70" s="346"/>
      <c r="K70" s="345"/>
      <c r="L70" s="347"/>
      <c r="M70" s="348"/>
      <c r="N70" s="344"/>
      <c r="O70" s="349"/>
      <c r="P70" s="233"/>
      <c r="Q70" s="219"/>
      <c r="R70" s="224"/>
      <c r="S70" s="225"/>
      <c r="T70" s="219"/>
      <c r="U70" s="219"/>
      <c r="V70" s="226"/>
      <c r="X70" s="367"/>
      <c r="Y70" s="367"/>
      <c r="Z70" s="367"/>
      <c r="AA70" s="367"/>
      <c r="AB70" s="367"/>
    </row>
    <row r="71" spans="1:28" ht="17.45">
      <c r="A71" s="188"/>
      <c r="B71" s="89"/>
      <c r="C71" s="90"/>
      <c r="F71" s="155"/>
      <c r="G71" s="155"/>
      <c r="H71" s="155"/>
      <c r="I71" s="155"/>
      <c r="J71" s="155"/>
      <c r="K71" s="155"/>
      <c r="L71" s="155"/>
      <c r="M71" s="155"/>
      <c r="N71" s="155"/>
      <c r="O71" s="155"/>
      <c r="P71" s="155"/>
      <c r="Q71" s="155"/>
      <c r="R71" s="155"/>
      <c r="S71" s="155"/>
      <c r="T71" s="155"/>
      <c r="U71" s="155"/>
      <c r="V71" s="155"/>
    </row>
    <row r="72" spans="1:28" ht="17.45">
      <c r="A72" s="188"/>
      <c r="B72" s="89"/>
      <c r="C72" s="90"/>
      <c r="F72" s="155"/>
      <c r="G72" s="155"/>
      <c r="H72" s="155"/>
      <c r="I72" s="155"/>
      <c r="J72" s="155"/>
      <c r="K72" s="155"/>
      <c r="L72" s="155"/>
      <c r="M72" s="155"/>
      <c r="N72" s="155"/>
      <c r="O72" s="155"/>
      <c r="P72" s="155"/>
      <c r="Q72" s="155"/>
      <c r="R72" s="155"/>
      <c r="S72" s="155"/>
      <c r="T72" s="155"/>
      <c r="U72" s="155"/>
      <c r="V72" s="155"/>
    </row>
    <row r="73" spans="1:28" ht="17.45">
      <c r="A73" s="188"/>
      <c r="B73" s="89"/>
      <c r="C73" s="90"/>
      <c r="F73" s="155"/>
      <c r="G73" s="155"/>
      <c r="H73" s="155"/>
      <c r="I73" s="155"/>
      <c r="J73" s="155"/>
      <c r="K73" s="155"/>
      <c r="L73" s="155"/>
      <c r="M73" s="155"/>
      <c r="N73" s="155"/>
      <c r="O73" s="155"/>
      <c r="P73" s="155"/>
      <c r="Q73" s="155"/>
      <c r="R73" s="155"/>
      <c r="S73" s="155"/>
      <c r="T73" s="155"/>
      <c r="U73" s="155"/>
      <c r="V73" s="155"/>
    </row>
    <row r="74" spans="1:28" ht="17.45">
      <c r="A74" s="188"/>
      <c r="B74" s="89"/>
      <c r="C74" s="90"/>
      <c r="F74" s="155"/>
      <c r="G74" s="155"/>
      <c r="H74" s="155"/>
      <c r="I74" s="155"/>
      <c r="J74" s="155"/>
      <c r="K74" s="155"/>
      <c r="L74" s="155"/>
      <c r="M74" s="155"/>
      <c r="N74" s="155"/>
      <c r="O74" s="155"/>
      <c r="P74" s="155"/>
      <c r="Q74" s="155"/>
      <c r="R74" s="155"/>
      <c r="S74" s="155"/>
      <c r="T74" s="155"/>
      <c r="U74" s="155"/>
      <c r="V74" s="155"/>
    </row>
    <row r="75" spans="1:28" ht="17.45">
      <c r="A75" s="188"/>
      <c r="B75" s="89"/>
      <c r="C75" s="90"/>
      <c r="F75" s="155"/>
      <c r="G75" s="155"/>
      <c r="H75" s="155"/>
      <c r="I75" s="155"/>
      <c r="J75" s="155"/>
      <c r="K75" s="155"/>
      <c r="L75" s="155"/>
      <c r="M75" s="155"/>
      <c r="N75" s="155"/>
      <c r="O75" s="155"/>
      <c r="P75" s="155"/>
      <c r="Q75" s="155"/>
      <c r="R75" s="155"/>
      <c r="S75" s="155"/>
      <c r="T75" s="155"/>
      <c r="U75" s="155"/>
      <c r="V75" s="155"/>
    </row>
    <row r="76" spans="1:28" ht="17.45">
      <c r="A76" s="188"/>
      <c r="B76" s="387" t="s">
        <v>143</v>
      </c>
      <c r="F76" s="155"/>
      <c r="G76" s="155"/>
      <c r="H76" s="155"/>
      <c r="I76" s="155"/>
      <c r="J76" s="155"/>
      <c r="K76" s="155"/>
      <c r="L76" s="155"/>
      <c r="M76" s="155"/>
      <c r="N76" s="155"/>
      <c r="O76" s="155"/>
      <c r="P76" s="155"/>
      <c r="Q76" s="155"/>
      <c r="R76" s="155"/>
      <c r="S76" s="155"/>
      <c r="T76" s="155"/>
      <c r="U76" s="155"/>
      <c r="V76" s="155"/>
    </row>
    <row r="77" spans="1:28" ht="17.45">
      <c r="A77" s="188"/>
      <c r="B77" s="388" t="s">
        <v>144</v>
      </c>
      <c r="F77" s="155"/>
      <c r="G77" s="155"/>
      <c r="H77" s="155"/>
      <c r="I77" s="155"/>
      <c r="J77" s="155"/>
      <c r="K77" s="155"/>
      <c r="L77" s="155"/>
      <c r="M77" s="155"/>
      <c r="N77" s="155"/>
      <c r="O77" s="155"/>
      <c r="P77" s="155"/>
      <c r="Q77" s="155"/>
      <c r="R77" s="155"/>
      <c r="S77" s="155"/>
      <c r="T77" s="155"/>
      <c r="U77" s="155"/>
      <c r="V77" s="155"/>
    </row>
    <row r="78" spans="1:28" ht="17.45">
      <c r="A78" s="188"/>
      <c r="B78" s="388" t="s">
        <v>145</v>
      </c>
      <c r="F78" s="155"/>
      <c r="G78" s="155"/>
      <c r="H78" s="155"/>
      <c r="I78" s="155"/>
      <c r="J78" s="155"/>
      <c r="K78" s="155"/>
      <c r="L78" s="155"/>
      <c r="M78" s="155"/>
      <c r="N78" s="155"/>
      <c r="O78" s="155"/>
      <c r="P78" s="155"/>
      <c r="Q78" s="155"/>
      <c r="R78" s="155"/>
      <c r="S78" s="155"/>
      <c r="T78" s="155"/>
      <c r="U78" s="155"/>
      <c r="V78" s="155"/>
    </row>
    <row r="79" spans="1:28" ht="16.5" customHeight="1">
      <c r="C79" s="388" t="s">
        <v>146</v>
      </c>
    </row>
    <row r="80" spans="1:28" ht="16.5" customHeight="1">
      <c r="C80" s="388" t="s">
        <v>147</v>
      </c>
    </row>
    <row r="81" spans="2:2" ht="16.5" customHeight="1">
      <c r="B81" s="387" t="s">
        <v>148</v>
      </c>
    </row>
    <row r="82" spans="2:2" ht="16.5" customHeight="1">
      <c r="B82" s="388" t="s">
        <v>149</v>
      </c>
    </row>
    <row r="83" spans="2:2" ht="16.5" customHeight="1">
      <c r="B83" s="388" t="s">
        <v>150</v>
      </c>
    </row>
    <row r="84" spans="2:2" ht="16.5" customHeight="1">
      <c r="B84" s="387" t="s">
        <v>151</v>
      </c>
    </row>
    <row r="85" spans="2:2" ht="16.5" customHeight="1">
      <c r="B85" s="388" t="s">
        <v>152</v>
      </c>
    </row>
    <row r="86" spans="2:2" ht="16.5" customHeight="1">
      <c r="B86" s="388" t="s">
        <v>153</v>
      </c>
    </row>
    <row r="87" spans="2:2" ht="16.5" customHeight="1">
      <c r="B87" s="388" t="s">
        <v>154</v>
      </c>
    </row>
    <row r="88" spans="2:2" ht="16.5" customHeight="1">
      <c r="B88" s="387" t="s">
        <v>155</v>
      </c>
    </row>
    <row r="89" spans="2:2" ht="16.5" customHeight="1">
      <c r="B89" s="388" t="s">
        <v>156</v>
      </c>
    </row>
    <row r="90" spans="2:2" ht="16.5" customHeight="1">
      <c r="B90" s="388" t="s">
        <v>157</v>
      </c>
    </row>
    <row r="91" spans="2:2" ht="16.5" customHeight="1">
      <c r="B91" s="388" t="s">
        <v>158</v>
      </c>
    </row>
    <row r="93" spans="2:2" ht="16.5" customHeight="1">
      <c r="B93" s="387" t="s">
        <v>159</v>
      </c>
    </row>
    <row r="94" spans="2:2" ht="16.5" customHeight="1">
      <c r="B94" s="388" t="s">
        <v>160</v>
      </c>
    </row>
    <row r="95" spans="2:2" ht="16.5" customHeight="1">
      <c r="B95" s="388" t="s">
        <v>161</v>
      </c>
    </row>
    <row r="96" spans="2:2" ht="16.5" customHeight="1">
      <c r="B96" s="388" t="s">
        <v>162</v>
      </c>
    </row>
    <row r="97" spans="2:2" ht="16.5" customHeight="1">
      <c r="B97" s="388" t="s">
        <v>163</v>
      </c>
    </row>
  </sheetData>
  <mergeCells count="31">
    <mergeCell ref="F2:I2"/>
    <mergeCell ref="J2:L2"/>
    <mergeCell ref="M2:O2"/>
    <mergeCell ref="B4:B6"/>
    <mergeCell ref="C36:C47"/>
    <mergeCell ref="B7:B9"/>
    <mergeCell ref="E4:E6"/>
    <mergeCell ref="E7:E9"/>
    <mergeCell ref="B15:B35"/>
    <mergeCell ref="D64:D65"/>
    <mergeCell ref="D66:D67"/>
    <mergeCell ref="D36:D39"/>
    <mergeCell ref="D40:D41"/>
    <mergeCell ref="D42:D43"/>
    <mergeCell ref="D44:D47"/>
    <mergeCell ref="D68:D70"/>
    <mergeCell ref="B10:B12"/>
    <mergeCell ref="B36:B70"/>
    <mergeCell ref="D16:D21"/>
    <mergeCell ref="D23:D28"/>
    <mergeCell ref="D30:D35"/>
    <mergeCell ref="C15:C21"/>
    <mergeCell ref="C22:C28"/>
    <mergeCell ref="C29:C35"/>
    <mergeCell ref="C48:C59"/>
    <mergeCell ref="D48:D51"/>
    <mergeCell ref="D52:D53"/>
    <mergeCell ref="D54:D55"/>
    <mergeCell ref="D56:D59"/>
    <mergeCell ref="C60:C70"/>
    <mergeCell ref="D60:D63"/>
  </mergeCells>
  <phoneticPr fontId="2"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9F74-8F3B-42CF-8F44-D3255C594089}">
  <sheetPr>
    <tabColor rgb="FF00B0F0"/>
  </sheetPr>
  <dimension ref="A1:AF101"/>
  <sheetViews>
    <sheetView tabSelected="1" topLeftCell="A43" workbookViewId="0">
      <selection activeCell="C39" sqref="C39:E50"/>
    </sheetView>
  </sheetViews>
  <sheetFormatPr defaultColWidth="9" defaultRowHeight="16.5" customHeight="1" outlineLevelRow="1"/>
  <cols>
    <col min="1" max="1" width="3.75" customWidth="1"/>
    <col min="2" max="2" width="8.25" customWidth="1"/>
    <col min="3" max="3" width="11.625" bestFit="1" customWidth="1"/>
    <col min="4" max="4" width="26.375" customWidth="1"/>
    <col min="5" max="5" width="11.75" customWidth="1"/>
    <col min="6" max="16" width="10" customWidth="1"/>
    <col min="17" max="22" width="12.625" customWidth="1"/>
    <col min="23" max="23" width="18" style="533" bestFit="1" customWidth="1"/>
    <col min="24" max="24" width="11.5" customWidth="1"/>
    <col min="29" max="31" width="10" bestFit="1" customWidth="1"/>
  </cols>
  <sheetData>
    <row r="1" spans="1:23" s="196" customFormat="1" ht="16.5" customHeight="1">
      <c r="G1" s="197"/>
      <c r="I1" s="198"/>
      <c r="L1" s="198"/>
      <c r="O1" s="198"/>
      <c r="P1" s="198"/>
      <c r="W1" s="532"/>
    </row>
    <row r="2" spans="1:23" ht="18" thickBot="1">
      <c r="A2" s="23"/>
      <c r="B2" s="23"/>
      <c r="E2" s="249" t="s">
        <v>89</v>
      </c>
      <c r="F2" s="656" t="s">
        <v>0</v>
      </c>
      <c r="G2" s="656"/>
      <c r="H2" s="656"/>
      <c r="I2" s="656"/>
      <c r="J2" s="657" t="s">
        <v>1</v>
      </c>
      <c r="K2" s="657"/>
      <c r="L2" s="657"/>
      <c r="M2" s="635" t="s">
        <v>2</v>
      </c>
      <c r="N2" s="636"/>
      <c r="O2" s="636"/>
      <c r="P2" s="636"/>
      <c r="Q2" s="23"/>
      <c r="R2" s="23"/>
      <c r="S2" s="23"/>
      <c r="T2" s="23"/>
      <c r="U2" s="23"/>
      <c r="V2" s="23"/>
    </row>
    <row r="3" spans="1:23" s="23" customFormat="1" ht="25.9" customHeight="1" thickBot="1">
      <c r="A3" s="194"/>
      <c r="B3" s="250" t="s">
        <v>96</v>
      </c>
      <c r="C3" s="251" t="s">
        <v>97</v>
      </c>
      <c r="D3" s="255" t="s">
        <v>98</v>
      </c>
      <c r="E3" s="259" t="s">
        <v>10</v>
      </c>
      <c r="F3" s="260">
        <v>46034</v>
      </c>
      <c r="G3" s="412" t="s">
        <v>164</v>
      </c>
      <c r="H3" s="411" t="s">
        <v>165</v>
      </c>
      <c r="I3" s="410" t="s">
        <v>166</v>
      </c>
      <c r="J3" s="386" t="s">
        <v>167</v>
      </c>
      <c r="K3" s="411" t="s">
        <v>168</v>
      </c>
      <c r="L3" s="411" t="s">
        <v>169</v>
      </c>
      <c r="M3" s="386" t="s">
        <v>170</v>
      </c>
      <c r="N3" s="412" t="s">
        <v>171</v>
      </c>
      <c r="O3" s="412" t="s">
        <v>172</v>
      </c>
      <c r="P3" s="587" t="s">
        <v>173</v>
      </c>
      <c r="Q3" s="201">
        <v>46111</v>
      </c>
      <c r="R3" s="201">
        <v>46118</v>
      </c>
      <c r="S3" s="201">
        <v>46125</v>
      </c>
      <c r="T3" s="201">
        <v>46132</v>
      </c>
      <c r="U3" s="201">
        <v>46139</v>
      </c>
      <c r="V3" s="201">
        <v>46146</v>
      </c>
      <c r="W3" s="534"/>
    </row>
    <row r="4" spans="1:23" s="23" customFormat="1" ht="17.25" customHeight="1">
      <c r="A4" s="192"/>
      <c r="B4" s="658" t="s">
        <v>14</v>
      </c>
      <c r="C4" s="204" t="s">
        <v>21</v>
      </c>
      <c r="D4" s="262" t="s">
        <v>100</v>
      </c>
      <c r="E4" s="655">
        <v>0.95</v>
      </c>
      <c r="F4" s="270"/>
      <c r="G4" s="271">
        <v>0.53</v>
      </c>
      <c r="H4" s="272">
        <v>0.74</v>
      </c>
      <c r="I4" s="400">
        <f>AVERAGE(I16:I21)</f>
        <v>0.70074999999999998</v>
      </c>
      <c r="J4" s="455">
        <f>AVERAGE(J16:J21)</f>
        <v>0.77183333333333337</v>
      </c>
      <c r="K4" s="455">
        <f t="shared" ref="K4" si="0">AVERAGE(K16:K21)</f>
        <v>0</v>
      </c>
      <c r="L4" s="521" cm="1">
        <f t="array" ref="L4">AVERAGE(IF(ISNUMBER(L16:L21), L16:L21))</f>
        <v>0</v>
      </c>
      <c r="M4" s="525" cm="1">
        <f t="array" ref="M4">AVERAGE(IF(ISNUMBER(M16:M21), M16:M21))</f>
        <v>0</v>
      </c>
      <c r="N4" s="562" t="e" cm="1">
        <f t="array" ref="N4">AVERAGE(IF(ISNUMBER(N16:N21), N16:N21))</f>
        <v>#DIV/0!</v>
      </c>
      <c r="O4" s="582" t="e" cm="1">
        <f t="array" ref="O4">AVERAGE(IF(ISNUMBER(O16:O21), O16:O21))</f>
        <v>#DIV/0!</v>
      </c>
      <c r="P4" s="611"/>
      <c r="Q4" s="145"/>
      <c r="R4" s="145"/>
      <c r="S4" s="145"/>
      <c r="T4" s="145"/>
      <c r="U4" s="145"/>
      <c r="V4" s="147"/>
      <c r="W4" s="534"/>
    </row>
    <row r="5" spans="1:23" s="23" customFormat="1" ht="17.25" customHeight="1">
      <c r="A5" s="192"/>
      <c r="B5" s="659"/>
      <c r="C5" s="202" t="s">
        <v>91</v>
      </c>
      <c r="D5" s="257" t="s">
        <v>101</v>
      </c>
      <c r="E5" s="655"/>
      <c r="F5" s="273"/>
      <c r="G5" s="274">
        <v>0</v>
      </c>
      <c r="H5" s="365">
        <v>0.59</v>
      </c>
      <c r="I5" s="390">
        <f>AVERAGE(I26:I31)</f>
        <v>0.61099999999999999</v>
      </c>
      <c r="J5" s="456">
        <f>AVERAGE(J26:J31)</f>
        <v>0.67199999999999982</v>
      </c>
      <c r="K5" s="456">
        <f t="shared" ref="K5:O5" si="1">AVERAGE(K26:K31)</f>
        <v>0.12766666666666668</v>
      </c>
      <c r="L5" s="522">
        <f t="shared" si="1"/>
        <v>0.68202499999999999</v>
      </c>
      <c r="M5" s="526">
        <f t="shared" si="1"/>
        <v>0.70080000000000009</v>
      </c>
      <c r="N5" s="530">
        <f t="shared" si="1"/>
        <v>0.74580000000000002</v>
      </c>
      <c r="O5" s="583">
        <f t="shared" si="1"/>
        <v>0.79713333333333336</v>
      </c>
      <c r="P5" s="612"/>
      <c r="Q5" s="141"/>
      <c r="R5" s="141"/>
      <c r="S5" s="141"/>
      <c r="T5" s="141"/>
      <c r="U5" s="141"/>
      <c r="V5" s="149"/>
      <c r="W5" s="534"/>
    </row>
    <row r="6" spans="1:23" s="23" customFormat="1" ht="17.25" customHeight="1" thickBot="1">
      <c r="A6" s="192"/>
      <c r="B6" s="660"/>
      <c r="C6" s="203" t="s">
        <v>92</v>
      </c>
      <c r="D6" s="258" t="s">
        <v>102</v>
      </c>
      <c r="E6" s="661"/>
      <c r="F6" s="277"/>
      <c r="G6" s="278">
        <v>0.37</v>
      </c>
      <c r="H6" s="279">
        <v>0.57809999999999995</v>
      </c>
      <c r="I6" s="280"/>
      <c r="J6" s="278"/>
      <c r="K6" s="457"/>
      <c r="L6" s="523"/>
      <c r="M6" s="457"/>
      <c r="N6" s="564"/>
      <c r="O6" s="377"/>
      <c r="P6" s="523"/>
      <c r="Q6" s="143"/>
      <c r="R6" s="143"/>
      <c r="S6" s="143"/>
      <c r="T6" s="143"/>
      <c r="U6" s="143"/>
      <c r="V6" s="176"/>
      <c r="W6" s="534"/>
    </row>
    <row r="7" spans="1:23" s="23" customFormat="1" ht="17.25" customHeight="1">
      <c r="A7" s="192"/>
      <c r="B7" s="652" t="s">
        <v>39</v>
      </c>
      <c r="C7" s="204" t="s">
        <v>21</v>
      </c>
      <c r="D7" s="256" t="s">
        <v>100</v>
      </c>
      <c r="E7" s="654">
        <v>0.95</v>
      </c>
      <c r="F7" s="281"/>
      <c r="G7" s="282"/>
      <c r="H7" s="282">
        <v>0.5</v>
      </c>
      <c r="I7" s="283">
        <f>AVERAGE(I39:I46)</f>
        <v>0.63735714285714284</v>
      </c>
      <c r="J7" s="282">
        <f>AVERAGE(J39:J46)</f>
        <v>0.55449999999999999</v>
      </c>
      <c r="K7" s="282">
        <f t="shared" ref="K7" si="2">AVERAGE(K39:K46)</f>
        <v>0</v>
      </c>
      <c r="L7" s="293">
        <f>AVERAGE(L39:L46)</f>
        <v>0.51760000000000006</v>
      </c>
      <c r="M7" s="527">
        <f t="shared" ref="M7:O7" si="3">AVERAGE(M39:M46)</f>
        <v>0.51800000000000002</v>
      </c>
      <c r="N7" s="284">
        <f t="shared" si="3"/>
        <v>0.50080000000000002</v>
      </c>
      <c r="O7" s="584">
        <f t="shared" si="3"/>
        <v>0.49050000000000005</v>
      </c>
      <c r="P7" s="613"/>
      <c r="Q7" s="145"/>
      <c r="R7" s="145"/>
      <c r="S7" s="145"/>
      <c r="T7" s="145"/>
      <c r="U7" s="145"/>
      <c r="V7" s="147"/>
      <c r="W7" s="534"/>
    </row>
    <row r="8" spans="1:23" s="23" customFormat="1" ht="17.25" customHeight="1">
      <c r="A8" s="192"/>
      <c r="B8" s="653"/>
      <c r="C8" s="202" t="s">
        <v>91</v>
      </c>
      <c r="D8" s="257" t="s">
        <v>103</v>
      </c>
      <c r="E8" s="655"/>
      <c r="F8" s="273"/>
      <c r="G8" s="274"/>
      <c r="H8" s="594">
        <f>AVERAGE(H51:H58)</f>
        <v>0.71174999999999999</v>
      </c>
      <c r="I8" s="594">
        <f>AVERAGE(I51:I58)</f>
        <v>0.78931255411255408</v>
      </c>
      <c r="J8" s="530">
        <f>AVERAGE(J51:J58)</f>
        <v>0</v>
      </c>
      <c r="K8" s="456">
        <f t="shared" ref="K8:O8" si="4">AVERAGE(K51:K58)</f>
        <v>0</v>
      </c>
      <c r="L8" s="592">
        <f t="shared" si="4"/>
        <v>0.61357142857142855</v>
      </c>
      <c r="M8" s="593">
        <f t="shared" si="4"/>
        <v>0.62857142857142867</v>
      </c>
      <c r="N8" s="530">
        <f t="shared" si="4"/>
        <v>0.25969999999999999</v>
      </c>
      <c r="O8" s="585">
        <f t="shared" si="4"/>
        <v>0.3453</v>
      </c>
      <c r="P8" s="612"/>
      <c r="Q8" s="141"/>
      <c r="R8" s="141"/>
      <c r="S8" s="141"/>
      <c r="T8" s="141"/>
      <c r="U8" s="141"/>
      <c r="V8" s="149"/>
      <c r="W8" s="534"/>
    </row>
    <row r="9" spans="1:23" s="23" customFormat="1" ht="17.25" customHeight="1" thickBot="1">
      <c r="A9" s="192"/>
      <c r="B9" s="653"/>
      <c r="C9" s="264" t="s">
        <v>92</v>
      </c>
      <c r="D9" s="265" t="s">
        <v>104</v>
      </c>
      <c r="E9" s="655"/>
      <c r="F9" s="285"/>
      <c r="G9" s="279"/>
      <c r="H9" s="286"/>
      <c r="I9" s="287"/>
      <c r="J9" s="382"/>
      <c r="K9" s="383"/>
      <c r="L9" s="524"/>
      <c r="M9" s="528"/>
      <c r="N9" s="565"/>
      <c r="O9" s="377"/>
      <c r="P9" s="523"/>
      <c r="Q9" s="143"/>
      <c r="R9" s="143"/>
      <c r="S9" s="143"/>
      <c r="T9" s="143"/>
      <c r="U9" s="143"/>
      <c r="V9" s="176"/>
      <c r="W9" s="534"/>
    </row>
    <row r="10" spans="1:23" s="23" customFormat="1" ht="17.25" customHeight="1">
      <c r="A10" s="192"/>
      <c r="B10" s="637" t="s">
        <v>105</v>
      </c>
      <c r="C10" s="359"/>
      <c r="D10" s="362"/>
      <c r="E10" s="484"/>
      <c r="F10" s="473"/>
      <c r="G10" s="289"/>
      <c r="H10" s="290"/>
      <c r="I10" s="291"/>
      <c r="J10" s="288"/>
      <c r="K10" s="282"/>
      <c r="L10" s="293"/>
      <c r="M10" s="527"/>
      <c r="N10" s="284"/>
      <c r="O10" s="282"/>
      <c r="P10" s="293"/>
      <c r="Q10" s="600"/>
      <c r="R10" s="600"/>
      <c r="S10" s="600"/>
      <c r="T10" s="600"/>
      <c r="U10" s="600"/>
      <c r="V10" s="601"/>
      <c r="W10" s="534"/>
    </row>
    <row r="11" spans="1:23" s="23" customFormat="1" ht="17.25" customHeight="1">
      <c r="A11" s="192"/>
      <c r="B11" s="638"/>
      <c r="C11" s="360"/>
      <c r="D11" s="363"/>
      <c r="E11" s="485"/>
      <c r="F11" s="474"/>
      <c r="G11" s="275"/>
      <c r="H11" s="295"/>
      <c r="I11" s="296"/>
      <c r="J11" s="294"/>
      <c r="K11" s="274"/>
      <c r="L11" s="298"/>
      <c r="M11" s="529"/>
      <c r="N11" s="588"/>
      <c r="O11" s="278"/>
      <c r="P11" s="614"/>
      <c r="Q11" s="602"/>
      <c r="R11" s="602"/>
      <c r="S11" s="602"/>
      <c r="T11" s="602"/>
      <c r="U11" s="602"/>
      <c r="V11" s="603"/>
      <c r="W11" s="534"/>
    </row>
    <row r="12" spans="1:23" s="23" customFormat="1" ht="17.25" customHeight="1" thickBot="1">
      <c r="A12" s="192"/>
      <c r="B12" s="639"/>
      <c r="C12" s="361"/>
      <c r="D12" s="364"/>
      <c r="E12" s="486"/>
      <c r="F12" s="475"/>
      <c r="G12" s="300"/>
      <c r="H12" s="301"/>
      <c r="I12" s="302"/>
      <c r="J12" s="299"/>
      <c r="K12" s="303"/>
      <c r="L12" s="306"/>
      <c r="M12" s="563"/>
      <c r="N12" s="304"/>
      <c r="O12" s="303"/>
      <c r="P12" s="306"/>
      <c r="Q12" s="604"/>
      <c r="R12" s="604"/>
      <c r="S12" s="604"/>
      <c r="T12" s="604"/>
      <c r="U12" s="604"/>
      <c r="V12" s="605"/>
      <c r="W12" s="534"/>
    </row>
    <row r="13" spans="1:23" ht="9" customHeight="1" thickBot="1">
      <c r="A13" s="23"/>
      <c r="B13" s="89"/>
      <c r="C13" s="181"/>
      <c r="E13" s="487"/>
      <c r="F13" s="155"/>
      <c r="G13" s="155"/>
      <c r="H13" s="156"/>
      <c r="I13" s="155"/>
      <c r="J13" s="155"/>
      <c r="K13" s="155"/>
      <c r="L13" s="155"/>
      <c r="M13" s="155"/>
      <c r="N13" s="155"/>
      <c r="O13" s="586"/>
      <c r="P13" s="615"/>
      <c r="Q13" s="155"/>
      <c r="R13" s="155"/>
      <c r="S13" s="155"/>
      <c r="T13" s="155"/>
      <c r="U13" s="155"/>
      <c r="V13" s="155"/>
    </row>
    <row r="14" spans="1:23" s="23" customFormat="1" ht="17.25" customHeight="1" thickBot="1">
      <c r="B14" s="244" t="s">
        <v>3</v>
      </c>
      <c r="C14" s="245" t="s">
        <v>97</v>
      </c>
      <c r="D14" s="246" t="s">
        <v>106</v>
      </c>
      <c r="E14" s="488" t="s">
        <v>107</v>
      </c>
      <c r="F14" s="476" t="s">
        <v>108</v>
      </c>
      <c r="G14" s="413" t="str">
        <f>G3</f>
        <v>01.19
~01.23</v>
      </c>
      <c r="H14" s="413" t="str">
        <f t="shared" ref="H14:I14" si="5">H3</f>
        <v>01.26
~01-30</v>
      </c>
      <c r="I14" s="413" t="str">
        <f t="shared" si="5"/>
        <v>02.02
~02.06</v>
      </c>
      <c r="J14" s="515" t="str">
        <f>J3</f>
        <v>02.09
~02.13</v>
      </c>
      <c r="K14" s="516" t="str">
        <f t="shared" ref="K14:O14" si="6">K3</f>
        <v>02.16
~02.20</v>
      </c>
      <c r="L14" s="517" t="str">
        <f t="shared" si="6"/>
        <v>02.23
~02.27</v>
      </c>
      <c r="M14" s="471" t="str">
        <f t="shared" si="6"/>
        <v>03.02
~03.06</v>
      </c>
      <c r="N14" s="570" t="str">
        <f t="shared" si="6"/>
        <v>03.09
~03.13</v>
      </c>
      <c r="O14" s="460" t="str">
        <f t="shared" si="6"/>
        <v>03.16
~03.20</v>
      </c>
      <c r="P14" s="616" t="str">
        <f>P3</f>
        <v>03.23
~03.27</v>
      </c>
      <c r="Q14" s="220"/>
      <c r="R14" s="220"/>
      <c r="S14" s="220"/>
      <c r="T14" s="220"/>
      <c r="U14" s="220"/>
      <c r="V14" s="215"/>
      <c r="W14" s="534"/>
    </row>
    <row r="15" spans="1:23" s="23" customFormat="1" ht="17.25" customHeight="1">
      <c r="B15" s="640" t="s">
        <v>118</v>
      </c>
      <c r="C15" s="643" t="s">
        <v>21</v>
      </c>
      <c r="D15" s="236" t="s">
        <v>119</v>
      </c>
      <c r="E15" s="489" t="s">
        <v>120</v>
      </c>
      <c r="F15" s="477">
        <v>0.95</v>
      </c>
      <c r="G15" s="309">
        <v>0.94</v>
      </c>
      <c r="H15" s="310">
        <v>0.94799999999999995</v>
      </c>
      <c r="I15" s="513">
        <v>0.95299999999999996</v>
      </c>
      <c r="J15" s="505">
        <v>0.95</v>
      </c>
      <c r="K15" s="506"/>
      <c r="L15" s="507">
        <v>0.95699999999999996</v>
      </c>
      <c r="M15" s="503">
        <v>0.95699999999999996</v>
      </c>
      <c r="N15" s="310"/>
      <c r="O15" s="308"/>
      <c r="P15" s="617"/>
      <c r="Q15" s="193"/>
      <c r="R15" s="193"/>
      <c r="S15" s="193"/>
      <c r="T15" s="193"/>
      <c r="U15" s="193"/>
      <c r="V15" s="221"/>
      <c r="W15" s="534"/>
    </row>
    <row r="16" spans="1:23" s="23" customFormat="1" ht="17.25" customHeight="1">
      <c r="B16" s="641"/>
      <c r="C16" s="644"/>
      <c r="D16" s="645" t="s">
        <v>121</v>
      </c>
      <c r="E16" s="490" t="s">
        <v>120</v>
      </c>
      <c r="F16" s="447">
        <v>0.62</v>
      </c>
      <c r="G16" s="313">
        <v>0.74299999999999999</v>
      </c>
      <c r="H16" s="269">
        <v>0.74</v>
      </c>
      <c r="I16" s="441" t="s">
        <v>122</v>
      </c>
      <c r="J16" s="508">
        <v>0.752</v>
      </c>
      <c r="K16" s="469">
        <v>0</v>
      </c>
      <c r="L16" s="394">
        <v>0</v>
      </c>
      <c r="M16" s="396">
        <v>0</v>
      </c>
      <c r="N16" s="269"/>
      <c r="O16" s="313"/>
      <c r="P16" s="394"/>
      <c r="Q16" s="187"/>
      <c r="R16" s="187"/>
      <c r="S16" s="187"/>
      <c r="T16" s="187"/>
      <c r="U16" s="187"/>
      <c r="V16" s="216"/>
      <c r="W16" s="534"/>
    </row>
    <row r="17" spans="2:32" s="23" customFormat="1" ht="17.25" customHeight="1">
      <c r="B17" s="641"/>
      <c r="C17" s="644"/>
      <c r="D17" s="645"/>
      <c r="E17" s="490" t="s">
        <v>123</v>
      </c>
      <c r="F17" s="478" t="s">
        <v>124</v>
      </c>
      <c r="G17" s="316" t="s">
        <v>125</v>
      </c>
      <c r="H17" s="416" t="s">
        <v>126</v>
      </c>
      <c r="I17" s="441" t="s">
        <v>122</v>
      </c>
      <c r="J17" s="508">
        <v>0.79500000000000004</v>
      </c>
      <c r="K17" s="313">
        <v>0</v>
      </c>
      <c r="L17" s="394">
        <v>0</v>
      </c>
      <c r="M17" s="396">
        <v>0</v>
      </c>
      <c r="N17" s="269"/>
      <c r="O17" s="313"/>
      <c r="P17" s="394"/>
      <c r="Q17" s="187"/>
      <c r="R17" s="187"/>
      <c r="S17" s="187"/>
      <c r="T17" s="187"/>
      <c r="U17" s="187"/>
      <c r="V17" s="216"/>
      <c r="W17" s="534"/>
    </row>
    <row r="18" spans="2:32" s="23" customFormat="1" ht="17.25" customHeight="1">
      <c r="B18" s="641"/>
      <c r="C18" s="644"/>
      <c r="D18" s="645"/>
      <c r="E18" s="490" t="s">
        <v>25</v>
      </c>
      <c r="F18" s="447"/>
      <c r="G18" s="316" t="s">
        <v>126</v>
      </c>
      <c r="H18" s="269">
        <v>0.64</v>
      </c>
      <c r="I18" s="414">
        <v>0.65300000000000002</v>
      </c>
      <c r="J18" s="509">
        <v>0.70699999999999996</v>
      </c>
      <c r="K18" s="313">
        <v>0</v>
      </c>
      <c r="L18" s="394">
        <v>0</v>
      </c>
      <c r="M18" s="396">
        <v>0</v>
      </c>
      <c r="N18" s="269"/>
      <c r="O18" s="313"/>
      <c r="P18" s="394"/>
      <c r="Q18" s="187"/>
      <c r="R18" s="187"/>
      <c r="S18" s="187"/>
      <c r="T18" s="187"/>
      <c r="U18" s="187"/>
      <c r="V18" s="216"/>
      <c r="W18" s="534"/>
    </row>
    <row r="19" spans="2:32" s="23" customFormat="1" ht="17.25" customHeight="1">
      <c r="B19" s="641"/>
      <c r="C19" s="644"/>
      <c r="D19" s="645"/>
      <c r="E19" s="490" t="s">
        <v>27</v>
      </c>
      <c r="F19" s="447">
        <v>0.52</v>
      </c>
      <c r="G19" s="313">
        <v>0.76700000000000002</v>
      </c>
      <c r="H19" s="269">
        <v>0.77</v>
      </c>
      <c r="I19" s="414">
        <v>0.77</v>
      </c>
      <c r="J19" s="509">
        <v>0.75900000000000001</v>
      </c>
      <c r="K19" s="313">
        <v>0</v>
      </c>
      <c r="L19" s="394">
        <v>0</v>
      </c>
      <c r="M19" s="396">
        <v>0</v>
      </c>
      <c r="N19" s="269"/>
      <c r="O19" s="313"/>
      <c r="P19" s="394"/>
      <c r="Q19" s="187"/>
      <c r="R19" s="187"/>
      <c r="S19" s="187"/>
      <c r="T19" s="187"/>
      <c r="U19" s="187"/>
      <c r="V19" s="216"/>
      <c r="W19" s="534"/>
    </row>
    <row r="20" spans="2:32" s="23" customFormat="1" ht="17.25" customHeight="1">
      <c r="B20" s="641"/>
      <c r="C20" s="644"/>
      <c r="D20" s="645"/>
      <c r="E20" s="490" t="s">
        <v>29</v>
      </c>
      <c r="F20" s="447"/>
      <c r="G20" s="316" t="s">
        <v>126</v>
      </c>
      <c r="H20" s="269">
        <v>0.67</v>
      </c>
      <c r="I20" s="414">
        <v>0.67</v>
      </c>
      <c r="J20" s="509">
        <v>0.77300000000000002</v>
      </c>
      <c r="K20" s="313">
        <v>0</v>
      </c>
      <c r="L20" s="394">
        <v>0</v>
      </c>
      <c r="M20" s="396">
        <v>0</v>
      </c>
      <c r="N20" s="269"/>
      <c r="O20" s="313"/>
      <c r="P20" s="394"/>
      <c r="Q20" s="187"/>
      <c r="R20" s="187"/>
      <c r="S20" s="187"/>
      <c r="T20" s="187"/>
      <c r="U20" s="187"/>
      <c r="V20" s="216"/>
      <c r="W20" s="534"/>
    </row>
    <row r="21" spans="2:32" s="23" customFormat="1" ht="17.25" customHeight="1">
      <c r="B21" s="641"/>
      <c r="C21" s="644"/>
      <c r="D21" s="645"/>
      <c r="E21" s="490" t="s">
        <v>31</v>
      </c>
      <c r="F21" s="447">
        <v>0.46</v>
      </c>
      <c r="G21" s="313">
        <v>0.71099999999999997</v>
      </c>
      <c r="H21" s="269">
        <v>0.71099999999999997</v>
      </c>
      <c r="I21" s="414">
        <v>0.71</v>
      </c>
      <c r="J21" s="509">
        <v>0.84499999999999997</v>
      </c>
      <c r="K21" s="313">
        <v>0</v>
      </c>
      <c r="L21" s="394">
        <v>0</v>
      </c>
      <c r="M21" s="396">
        <v>0</v>
      </c>
      <c r="N21" s="269"/>
      <c r="O21" s="313"/>
      <c r="P21" s="394"/>
      <c r="Q21" s="187"/>
      <c r="R21" s="187"/>
      <c r="S21" s="187"/>
      <c r="T21" s="187"/>
      <c r="U21" s="187"/>
      <c r="V21" s="216"/>
      <c r="W21" s="534"/>
    </row>
    <row r="22" spans="2:32" s="23" customFormat="1" ht="17.25" customHeight="1" outlineLevel="1">
      <c r="B22" s="641"/>
      <c r="C22" s="644" t="s">
        <v>127</v>
      </c>
      <c r="D22" s="214" t="s">
        <v>128</v>
      </c>
      <c r="E22" s="490" t="s">
        <v>120</v>
      </c>
      <c r="F22" s="447"/>
      <c r="G22" s="313"/>
      <c r="H22" s="269">
        <v>0.94799999999999995</v>
      </c>
      <c r="I22" s="414">
        <v>0.95299999999999996</v>
      </c>
      <c r="J22" s="509">
        <v>0.95299999999999996</v>
      </c>
      <c r="K22" s="313"/>
      <c r="L22" s="394">
        <v>0.95699999999999996</v>
      </c>
      <c r="M22" s="396">
        <v>0.95699999999999996</v>
      </c>
      <c r="N22" s="269">
        <v>0.95699999999999996</v>
      </c>
      <c r="O22" s="313">
        <v>0.98860000000000003</v>
      </c>
      <c r="P22" s="394"/>
      <c r="Q22" s="187"/>
      <c r="R22" s="187"/>
      <c r="S22" s="187"/>
      <c r="T22" s="187"/>
      <c r="U22" s="187"/>
      <c r="V22" s="216"/>
      <c r="W22" s="534"/>
    </row>
    <row r="23" spans="2:32" s="23" customFormat="1" ht="17.25" customHeight="1" outlineLevel="1">
      <c r="B23" s="641"/>
      <c r="C23" s="644"/>
      <c r="D23" s="649" t="s">
        <v>174</v>
      </c>
      <c r="E23" s="490" t="s">
        <v>175</v>
      </c>
      <c r="F23" s="447"/>
      <c r="G23" s="313"/>
      <c r="H23" s="269"/>
      <c r="I23" s="414">
        <v>0.84199999999999997</v>
      </c>
      <c r="J23" s="509">
        <v>0.94599999999999995</v>
      </c>
      <c r="K23" s="313">
        <v>0.74</v>
      </c>
      <c r="L23" s="394">
        <v>0.83399999999999996</v>
      </c>
      <c r="M23" s="543">
        <v>0.88200000000000001</v>
      </c>
      <c r="N23" s="269">
        <v>0.878</v>
      </c>
      <c r="O23" s="313">
        <v>0.90869999999999995</v>
      </c>
      <c r="P23" s="634">
        <v>0.93200000000000005</v>
      </c>
      <c r="Q23" s="187"/>
      <c r="R23" s="187"/>
      <c r="S23" s="187"/>
      <c r="T23" s="187"/>
      <c r="U23" s="187"/>
      <c r="V23" s="216"/>
      <c r="W23" s="534"/>
      <c r="X23" s="367" t="s">
        <v>176</v>
      </c>
      <c r="Y23" s="367"/>
      <c r="Z23" s="367" t="s">
        <v>177</v>
      </c>
      <c r="AA23" s="367"/>
      <c r="AB23" s="367"/>
      <c r="AC23" s="367" t="s">
        <v>178</v>
      </c>
      <c r="AD23" s="367"/>
      <c r="AF23" s="559">
        <f>646/704</f>
        <v>0.91761363636363635</v>
      </c>
    </row>
    <row r="24" spans="2:32" s="23" customFormat="1" ht="17.25" customHeight="1" outlineLevel="1">
      <c r="B24" s="641"/>
      <c r="C24" s="644"/>
      <c r="D24" s="650"/>
      <c r="E24" s="490" t="s">
        <v>179</v>
      </c>
      <c r="F24" s="447"/>
      <c r="G24" s="313"/>
      <c r="H24" s="269"/>
      <c r="I24" s="414"/>
      <c r="J24" s="622" t="s">
        <v>129</v>
      </c>
      <c r="K24" s="469" t="s">
        <v>129</v>
      </c>
      <c r="L24" s="623" t="s">
        <v>129</v>
      </c>
      <c r="M24" s="543" t="s">
        <v>129</v>
      </c>
      <c r="N24" s="624" t="s">
        <v>129</v>
      </c>
      <c r="O24" s="313">
        <v>0.9133</v>
      </c>
      <c r="P24" s="394"/>
      <c r="Q24" s="187"/>
      <c r="R24" s="187"/>
      <c r="S24" s="187"/>
      <c r="T24" s="187"/>
      <c r="U24" s="187"/>
      <c r="V24" s="216"/>
      <c r="W24" s="534"/>
      <c r="X24" s="628">
        <v>0.85899999999999999</v>
      </c>
      <c r="Y24" s="367"/>
      <c r="Z24" s="367"/>
      <c r="AA24" s="367"/>
      <c r="AB24" s="367"/>
      <c r="AC24" s="367" t="s">
        <v>180</v>
      </c>
      <c r="AD24" s="367"/>
      <c r="AF24" s="559"/>
    </row>
    <row r="25" spans="2:32" s="23" customFormat="1" ht="17.25" customHeight="1" outlineLevel="1">
      <c r="B25" s="641"/>
      <c r="C25" s="644"/>
      <c r="D25" s="651"/>
      <c r="E25" s="490" t="s">
        <v>31</v>
      </c>
      <c r="F25" s="447"/>
      <c r="G25" s="313"/>
      <c r="H25" s="269"/>
      <c r="I25" s="414"/>
      <c r="J25" s="622" t="s">
        <v>129</v>
      </c>
      <c r="K25" s="469" t="s">
        <v>129</v>
      </c>
      <c r="L25" s="623" t="s">
        <v>129</v>
      </c>
      <c r="M25" s="543" t="s">
        <v>129</v>
      </c>
      <c r="N25" s="624" t="s">
        <v>129</v>
      </c>
      <c r="O25" s="313">
        <v>0.92049999999999998</v>
      </c>
      <c r="P25" s="394"/>
      <c r="Q25" s="187"/>
      <c r="R25" s="187"/>
      <c r="S25" s="187"/>
      <c r="T25" s="187"/>
      <c r="U25" s="187"/>
      <c r="V25" s="216"/>
      <c r="W25" s="534"/>
      <c r="AF25" s="559"/>
    </row>
    <row r="26" spans="2:32" s="23" customFormat="1" ht="17.25" customHeight="1" outlineLevel="1">
      <c r="B26" s="641"/>
      <c r="C26" s="644"/>
      <c r="D26" s="646" t="s">
        <v>181</v>
      </c>
      <c r="E26" s="491" t="s">
        <v>120</v>
      </c>
      <c r="F26" s="399"/>
      <c r="G26" s="318">
        <v>0.59</v>
      </c>
      <c r="H26" s="319">
        <v>0.73899999999999999</v>
      </c>
      <c r="I26" s="415">
        <v>0.752</v>
      </c>
      <c r="J26" s="428">
        <v>0.754</v>
      </c>
      <c r="K26" s="318">
        <v>0.76600000000000001</v>
      </c>
      <c r="L26" s="531" t="s">
        <v>129</v>
      </c>
      <c r="M26" s="504">
        <v>0.71599999999999997</v>
      </c>
      <c r="N26" s="571">
        <v>0.73499999999999999</v>
      </c>
      <c r="O26" s="626">
        <v>0.83899999999999997</v>
      </c>
      <c r="P26" s="531">
        <v>0.78400000000000003</v>
      </c>
      <c r="Q26" s="186"/>
      <c r="R26" s="186"/>
      <c r="S26" s="186"/>
      <c r="T26" s="186"/>
      <c r="U26" s="186"/>
      <c r="V26" s="217"/>
      <c r="W26" s="534"/>
      <c r="AF26" s="559"/>
    </row>
    <row r="27" spans="2:32" s="23" customFormat="1" ht="17.25" customHeight="1" outlineLevel="1">
      <c r="B27" s="641"/>
      <c r="C27" s="644"/>
      <c r="D27" s="646"/>
      <c r="E27" s="491" t="s">
        <v>123</v>
      </c>
      <c r="F27" s="399"/>
      <c r="G27" s="318"/>
      <c r="H27" s="544" t="s">
        <v>129</v>
      </c>
      <c r="I27" s="415" t="s">
        <v>129</v>
      </c>
      <c r="J27" s="428">
        <v>0.79500000000000004</v>
      </c>
      <c r="K27" s="318">
        <v>0</v>
      </c>
      <c r="L27" s="395" t="s">
        <v>129</v>
      </c>
      <c r="M27" s="397">
        <v>0.77500000000000002</v>
      </c>
      <c r="N27" s="571">
        <v>0.81330000000000002</v>
      </c>
      <c r="O27" s="318">
        <v>0.84330000000000005</v>
      </c>
      <c r="P27" s="633" t="s">
        <v>129</v>
      </c>
      <c r="Q27" s="186"/>
      <c r="R27" s="186"/>
      <c r="S27" s="186"/>
      <c r="T27" s="186"/>
      <c r="U27" s="186"/>
      <c r="V27" s="217"/>
      <c r="W27" s="534"/>
      <c r="AA27" s="458"/>
    </row>
    <row r="28" spans="2:32" s="23" customFormat="1" ht="17.25" customHeight="1" outlineLevel="1">
      <c r="B28" s="641"/>
      <c r="C28" s="644"/>
      <c r="D28" s="646"/>
      <c r="E28" s="491" t="s">
        <v>25</v>
      </c>
      <c r="F28" s="399"/>
      <c r="G28" s="318"/>
      <c r="H28" s="319">
        <v>0.64200000000000002</v>
      </c>
      <c r="I28" s="415">
        <v>0.65300000000000002</v>
      </c>
      <c r="J28" s="428">
        <v>0.70699999999999996</v>
      </c>
      <c r="K28" s="318">
        <v>0</v>
      </c>
      <c r="L28" s="395">
        <v>0.80410000000000004</v>
      </c>
      <c r="M28" s="397" t="s">
        <v>129</v>
      </c>
      <c r="N28" s="571">
        <v>0.84799999999999998</v>
      </c>
      <c r="O28" s="318">
        <v>0.91100000000000003</v>
      </c>
      <c r="P28" s="633">
        <v>0.92500000000000004</v>
      </c>
      <c r="Q28" s="186"/>
      <c r="R28" s="186"/>
      <c r="S28" s="186"/>
      <c r="T28" s="186"/>
      <c r="U28" s="186"/>
      <c r="V28" s="217"/>
      <c r="W28" s="534"/>
      <c r="Z28" s="560"/>
      <c r="AA28" s="458"/>
    </row>
    <row r="29" spans="2:32" s="23" customFormat="1" ht="17.25" customHeight="1" outlineLevel="1">
      <c r="B29" s="641"/>
      <c r="C29" s="644"/>
      <c r="D29" s="646"/>
      <c r="E29" s="491" t="s">
        <v>182</v>
      </c>
      <c r="F29" s="399"/>
      <c r="G29" s="318"/>
      <c r="H29" s="319">
        <v>0.46100000000000002</v>
      </c>
      <c r="I29" s="415">
        <v>0.52200000000000002</v>
      </c>
      <c r="J29" s="428">
        <v>0.52900000000000003</v>
      </c>
      <c r="K29" s="318">
        <v>0</v>
      </c>
      <c r="L29" s="395">
        <v>0.64100000000000001</v>
      </c>
      <c r="M29" s="504">
        <v>0.61099999999999999</v>
      </c>
      <c r="N29" s="572">
        <v>0.67649999999999999</v>
      </c>
      <c r="O29" s="318">
        <v>0.7</v>
      </c>
      <c r="P29" s="633" t="s">
        <v>129</v>
      </c>
      <c r="Q29" s="186"/>
      <c r="R29" s="186"/>
      <c r="S29" s="186"/>
      <c r="T29" s="186"/>
      <c r="U29" s="186"/>
      <c r="V29" s="217"/>
      <c r="W29" s="534"/>
      <c r="Z29" s="560"/>
      <c r="AA29" s="458"/>
    </row>
    <row r="30" spans="2:32" s="23" customFormat="1" ht="17.25" customHeight="1" outlineLevel="1">
      <c r="B30" s="641"/>
      <c r="C30" s="644"/>
      <c r="D30" s="646"/>
      <c r="E30" s="491" t="s">
        <v>29</v>
      </c>
      <c r="F30" s="399"/>
      <c r="G30" s="318"/>
      <c r="H30" s="319">
        <v>0.63</v>
      </c>
      <c r="I30" s="415">
        <v>0.58699999999999997</v>
      </c>
      <c r="J30" s="428">
        <v>0.60699999999999998</v>
      </c>
      <c r="K30" s="318">
        <v>0</v>
      </c>
      <c r="L30" s="395">
        <v>0.67300000000000004</v>
      </c>
      <c r="M30" s="504">
        <v>0.69699999999999995</v>
      </c>
      <c r="N30" s="571">
        <v>0.69699999999999995</v>
      </c>
      <c r="O30" s="318">
        <v>0.74329999999999996</v>
      </c>
      <c r="P30" s="633" t="s">
        <v>129</v>
      </c>
      <c r="Q30" s="186"/>
      <c r="R30" s="186"/>
      <c r="S30" s="186"/>
      <c r="T30" s="186"/>
      <c r="U30" s="186"/>
      <c r="V30" s="217"/>
      <c r="W30" s="534"/>
      <c r="AA30" s="458"/>
    </row>
    <row r="31" spans="2:32" s="23" customFormat="1" ht="17.25" customHeight="1" outlineLevel="1">
      <c r="B31" s="641"/>
      <c r="C31" s="644"/>
      <c r="D31" s="646"/>
      <c r="E31" s="491" t="s">
        <v>31</v>
      </c>
      <c r="F31" s="399"/>
      <c r="G31" s="318"/>
      <c r="H31" s="319">
        <v>0.6</v>
      </c>
      <c r="I31" s="415">
        <v>0.54100000000000004</v>
      </c>
      <c r="J31" s="428">
        <v>0.64</v>
      </c>
      <c r="K31" s="318">
        <v>0</v>
      </c>
      <c r="L31" s="395">
        <v>0.61</v>
      </c>
      <c r="M31" s="397">
        <v>0.70499999999999996</v>
      </c>
      <c r="N31" s="573">
        <v>0.70499999999999996</v>
      </c>
      <c r="O31" s="318">
        <v>0.74619999999999997</v>
      </c>
      <c r="P31" s="633" t="s">
        <v>129</v>
      </c>
      <c r="Q31" s="186"/>
      <c r="R31" s="186"/>
      <c r="S31" s="186"/>
      <c r="T31" s="186"/>
      <c r="U31" s="186"/>
      <c r="V31" s="217"/>
      <c r="W31" s="534"/>
      <c r="AA31" s="458"/>
    </row>
    <row r="32" spans="2:32" s="23" customFormat="1" ht="17.25" customHeight="1" outlineLevel="1">
      <c r="B32" s="641"/>
      <c r="C32" s="644" t="s">
        <v>130</v>
      </c>
      <c r="D32" s="214" t="s">
        <v>128</v>
      </c>
      <c r="E32" s="490" t="s">
        <v>120</v>
      </c>
      <c r="F32" s="447"/>
      <c r="G32" s="313"/>
      <c r="H32" s="269"/>
      <c r="I32" s="414"/>
      <c r="J32" s="509"/>
      <c r="K32" s="313"/>
      <c r="L32" s="394"/>
      <c r="M32" s="447"/>
      <c r="N32" s="269"/>
      <c r="O32" s="313"/>
      <c r="P32" s="394"/>
      <c r="Q32" s="187"/>
      <c r="R32" s="187"/>
      <c r="S32" s="187"/>
      <c r="T32" s="187"/>
      <c r="U32" s="187"/>
      <c r="V32" s="216"/>
      <c r="W32" s="534"/>
      <c r="AA32" s="458"/>
    </row>
    <row r="33" spans="2:28" s="23" customFormat="1" ht="17.25" customHeight="1" outlineLevel="1">
      <c r="B33" s="641"/>
      <c r="C33" s="644"/>
      <c r="D33" s="645" t="s">
        <v>121</v>
      </c>
      <c r="E33" s="490" t="s">
        <v>120</v>
      </c>
      <c r="F33" s="447"/>
      <c r="G33" s="313">
        <v>0.57799999999999996</v>
      </c>
      <c r="H33" s="269"/>
      <c r="I33" s="414"/>
      <c r="J33" s="509">
        <v>0.77700000000000002</v>
      </c>
      <c r="K33" s="313"/>
      <c r="L33" s="394"/>
      <c r="M33" s="447"/>
      <c r="N33" s="269"/>
      <c r="O33" s="313"/>
      <c r="P33" s="634">
        <v>0.91200000000000003</v>
      </c>
      <c r="Q33" s="187"/>
      <c r="R33" s="187"/>
      <c r="S33" s="187"/>
      <c r="T33" s="187"/>
      <c r="U33" s="187"/>
      <c r="V33" s="216"/>
      <c r="W33" s="534"/>
      <c r="AA33" s="459"/>
    </row>
    <row r="34" spans="2:28" s="23" customFormat="1" ht="17.25" customHeight="1" outlineLevel="1">
      <c r="B34" s="641"/>
      <c r="C34" s="644"/>
      <c r="D34" s="645"/>
      <c r="E34" s="490" t="s">
        <v>123</v>
      </c>
      <c r="F34" s="447"/>
      <c r="G34" s="321"/>
      <c r="H34" s="269"/>
      <c r="I34" s="414"/>
      <c r="J34" s="509"/>
      <c r="K34" s="313"/>
      <c r="L34" s="394"/>
      <c r="M34" s="447"/>
      <c r="N34" s="269"/>
      <c r="O34" s="313"/>
      <c r="P34" s="394"/>
      <c r="Q34" s="187"/>
      <c r="R34" s="187"/>
      <c r="S34" s="187"/>
      <c r="T34" s="187"/>
      <c r="U34" s="187"/>
      <c r="V34" s="216"/>
      <c r="W34" s="534"/>
    </row>
    <row r="35" spans="2:28" s="23" customFormat="1" ht="17.25" customHeight="1" outlineLevel="1">
      <c r="B35" s="641"/>
      <c r="C35" s="644"/>
      <c r="D35" s="645"/>
      <c r="E35" s="490" t="s">
        <v>25</v>
      </c>
      <c r="F35" s="447"/>
      <c r="G35" s="321"/>
      <c r="H35" s="269"/>
      <c r="I35" s="414"/>
      <c r="J35" s="509"/>
      <c r="K35" s="313"/>
      <c r="L35" s="394"/>
      <c r="M35" s="447"/>
      <c r="N35" s="269"/>
      <c r="O35" s="313"/>
      <c r="P35" s="394"/>
      <c r="Q35" s="187"/>
      <c r="R35" s="187"/>
      <c r="S35" s="187"/>
      <c r="T35" s="187"/>
      <c r="U35" s="187"/>
      <c r="V35" s="216"/>
      <c r="W35" s="534"/>
    </row>
    <row r="36" spans="2:28" s="23" customFormat="1" ht="17.25" customHeight="1" outlineLevel="1">
      <c r="B36" s="641"/>
      <c r="C36" s="644"/>
      <c r="D36" s="645"/>
      <c r="E36" s="490" t="s">
        <v>27</v>
      </c>
      <c r="F36" s="447"/>
      <c r="G36" s="321"/>
      <c r="H36" s="269"/>
      <c r="I36" s="414"/>
      <c r="J36" s="509"/>
      <c r="K36" s="313"/>
      <c r="L36" s="394"/>
      <c r="M36" s="447"/>
      <c r="N36" s="269"/>
      <c r="O36" s="313"/>
      <c r="P36" s="394"/>
      <c r="Q36" s="187"/>
      <c r="R36" s="187"/>
      <c r="S36" s="187"/>
      <c r="T36" s="187"/>
      <c r="U36" s="187"/>
      <c r="V36" s="216"/>
      <c r="W36" s="534"/>
    </row>
    <row r="37" spans="2:28" s="23" customFormat="1" ht="17.25" customHeight="1" outlineLevel="1">
      <c r="B37" s="641"/>
      <c r="C37" s="644"/>
      <c r="D37" s="645"/>
      <c r="E37" s="490" t="s">
        <v>29</v>
      </c>
      <c r="F37" s="447"/>
      <c r="G37" s="321"/>
      <c r="H37" s="269"/>
      <c r="I37" s="414"/>
      <c r="J37" s="509"/>
      <c r="K37" s="313"/>
      <c r="L37" s="394"/>
      <c r="M37" s="447"/>
      <c r="N37" s="269"/>
      <c r="O37" s="313"/>
      <c r="P37" s="394"/>
      <c r="Q37" s="187"/>
      <c r="R37" s="187"/>
      <c r="S37" s="187"/>
      <c r="T37" s="187"/>
      <c r="U37" s="187"/>
      <c r="V37" s="216"/>
      <c r="W37" s="534"/>
    </row>
    <row r="38" spans="2:28" s="23" customFormat="1" ht="17.25" customHeight="1" outlineLevel="1" thickBot="1">
      <c r="B38" s="642"/>
      <c r="C38" s="647"/>
      <c r="D38" s="648"/>
      <c r="E38" s="492" t="s">
        <v>31</v>
      </c>
      <c r="F38" s="479"/>
      <c r="G38" s="324"/>
      <c r="H38" s="325"/>
      <c r="I38" s="514"/>
      <c r="J38" s="510"/>
      <c r="K38" s="511"/>
      <c r="L38" s="512"/>
      <c r="M38" s="597"/>
      <c r="N38" s="566"/>
      <c r="O38" s="511"/>
      <c r="P38" s="512"/>
      <c r="Q38" s="187"/>
      <c r="R38" s="187"/>
      <c r="S38" s="187"/>
      <c r="T38" s="187"/>
      <c r="U38" s="187"/>
      <c r="V38" s="216"/>
      <c r="W38" s="534"/>
      <c r="X38" s="538" t="s">
        <v>131</v>
      </c>
      <c r="Y38" s="367"/>
      <c r="Z38" s="367"/>
      <c r="AA38" s="367"/>
      <c r="AB38" s="367"/>
    </row>
    <row r="39" spans="2:28" s="23" customFormat="1" ht="17.25" customHeight="1">
      <c r="B39" s="662" t="s">
        <v>95</v>
      </c>
      <c r="C39" s="665" t="s">
        <v>21</v>
      </c>
      <c r="D39" s="666" t="s">
        <v>132</v>
      </c>
      <c r="E39" s="493" t="s">
        <v>52</v>
      </c>
      <c r="F39" s="480"/>
      <c r="G39" s="328">
        <v>0.4</v>
      </c>
      <c r="H39" s="329">
        <v>0.42499999999999999</v>
      </c>
      <c r="I39" s="465">
        <v>0.754</v>
      </c>
      <c r="J39" s="518">
        <v>0.76200000000000001</v>
      </c>
      <c r="K39" s="519">
        <v>0</v>
      </c>
      <c r="L39" s="520">
        <v>0.753</v>
      </c>
      <c r="M39" s="596" t="s">
        <v>129</v>
      </c>
      <c r="N39" s="567"/>
      <c r="O39" s="519"/>
      <c r="P39" s="520"/>
      <c r="Q39" s="186"/>
      <c r="R39" s="186"/>
      <c r="S39" s="186"/>
      <c r="T39" s="186"/>
      <c r="U39" s="186"/>
      <c r="V39" s="217"/>
      <c r="W39" s="534"/>
      <c r="X39" s="367" t="s">
        <v>133</v>
      </c>
      <c r="Y39" s="367"/>
      <c r="Z39" s="367"/>
      <c r="AA39" s="367" t="s">
        <v>134</v>
      </c>
      <c r="AB39" s="367"/>
    </row>
    <row r="40" spans="2:28" s="23" customFormat="1" ht="17.25" customHeight="1">
      <c r="B40" s="663"/>
      <c r="C40" s="644"/>
      <c r="D40" s="667"/>
      <c r="E40" s="494" t="s">
        <v>46</v>
      </c>
      <c r="F40" s="481"/>
      <c r="G40" s="334">
        <v>0.48</v>
      </c>
      <c r="H40" s="319">
        <v>0.52500000000000002</v>
      </c>
      <c r="I40" s="415">
        <v>0.51</v>
      </c>
      <c r="J40" s="428">
        <v>0.51</v>
      </c>
      <c r="K40" s="318">
        <v>0</v>
      </c>
      <c r="L40" s="395"/>
      <c r="M40" s="498" t="s">
        <v>129</v>
      </c>
      <c r="N40" s="319"/>
      <c r="O40" s="319"/>
      <c r="P40" s="395"/>
      <c r="Q40" s="186"/>
      <c r="R40" s="186"/>
      <c r="S40" s="186"/>
      <c r="T40" s="186"/>
      <c r="U40" s="186"/>
      <c r="V40" s="217"/>
      <c r="W40" s="534"/>
      <c r="X40" s="367" t="s">
        <v>135</v>
      </c>
      <c r="Y40" s="367"/>
      <c r="Z40" s="367"/>
      <c r="AA40" s="369" t="s">
        <v>136</v>
      </c>
      <c r="AB40" s="367"/>
    </row>
    <row r="41" spans="2:28" s="23" customFormat="1" ht="17.25" customHeight="1">
      <c r="B41" s="663"/>
      <c r="C41" s="644"/>
      <c r="D41" s="667"/>
      <c r="E41" s="494" t="s">
        <v>48</v>
      </c>
      <c r="F41" s="481"/>
      <c r="G41" s="334">
        <v>0.49</v>
      </c>
      <c r="H41" s="319">
        <v>0.47499999999999998</v>
      </c>
      <c r="I41" s="415">
        <v>0.54100000000000004</v>
      </c>
      <c r="J41" s="428">
        <v>0.47499999999999998</v>
      </c>
      <c r="K41" s="318">
        <v>0</v>
      </c>
      <c r="L41" s="395">
        <v>0.46100000000000002</v>
      </c>
      <c r="M41" s="498" t="s">
        <v>129</v>
      </c>
      <c r="N41" s="319"/>
      <c r="O41" s="319">
        <v>0.45900000000000002</v>
      </c>
      <c r="P41" s="395"/>
      <c r="Q41" s="186"/>
      <c r="R41" s="186"/>
      <c r="S41" s="186"/>
      <c r="T41" s="186"/>
      <c r="U41" s="186"/>
      <c r="V41" s="217"/>
      <c r="W41" s="534"/>
      <c r="X41" s="367" t="s">
        <v>137</v>
      </c>
      <c r="Y41" s="367"/>
      <c r="Z41" s="367"/>
      <c r="AA41" s="369" t="s">
        <v>138</v>
      </c>
      <c r="AB41" s="367"/>
    </row>
    <row r="42" spans="2:28" s="23" customFormat="1" ht="17.25" customHeight="1">
      <c r="B42" s="663"/>
      <c r="C42" s="644"/>
      <c r="D42" s="667"/>
      <c r="E42" s="494" t="s">
        <v>54</v>
      </c>
      <c r="F42" s="481"/>
      <c r="G42" s="334">
        <v>0.5</v>
      </c>
      <c r="H42" s="319">
        <v>0.54700000000000004</v>
      </c>
      <c r="I42" s="415">
        <v>0.495</v>
      </c>
      <c r="J42" s="428">
        <v>0.47099999999999997</v>
      </c>
      <c r="K42" s="318">
        <v>0</v>
      </c>
      <c r="L42" s="395">
        <v>0.46700000000000003</v>
      </c>
      <c r="M42" s="481">
        <v>0.51800000000000002</v>
      </c>
      <c r="N42" s="574">
        <v>0.50080000000000002</v>
      </c>
      <c r="O42" s="598">
        <v>0.52200000000000002</v>
      </c>
      <c r="P42" s="395"/>
      <c r="Q42" s="186"/>
      <c r="R42" s="186"/>
      <c r="S42" s="186"/>
      <c r="T42" s="186"/>
      <c r="U42" s="186"/>
      <c r="V42" s="217"/>
      <c r="W42" s="535" t="s">
        <v>183</v>
      </c>
      <c r="X42" s="367" t="s">
        <v>137</v>
      </c>
      <c r="Y42" s="367"/>
      <c r="Z42" s="367"/>
      <c r="AB42" s="367"/>
    </row>
    <row r="43" spans="2:28" s="23" customFormat="1" ht="17.25" customHeight="1">
      <c r="B43" s="663"/>
      <c r="C43" s="644"/>
      <c r="D43" s="667" t="s">
        <v>55</v>
      </c>
      <c r="E43" s="494" t="s">
        <v>56</v>
      </c>
      <c r="F43" s="482"/>
      <c r="G43" s="334">
        <v>0.68</v>
      </c>
      <c r="H43" s="319">
        <v>0.75</v>
      </c>
      <c r="I43" s="440">
        <v>0.75</v>
      </c>
      <c r="J43" s="429"/>
      <c r="K43" s="318"/>
      <c r="L43" s="395" t="s">
        <v>129</v>
      </c>
      <c r="M43" s="498" t="s">
        <v>129</v>
      </c>
      <c r="N43" s="575"/>
      <c r="O43" s="319"/>
      <c r="P43" s="395"/>
      <c r="Q43" s="186"/>
      <c r="R43" s="186"/>
      <c r="S43" s="186"/>
      <c r="T43" s="186"/>
      <c r="U43" s="186"/>
      <c r="V43" s="217"/>
      <c r="W43" s="534"/>
      <c r="X43" s="367" t="s">
        <v>137</v>
      </c>
      <c r="Y43" s="367"/>
      <c r="Z43" s="367"/>
      <c r="AA43" s="627" t="s">
        <v>184</v>
      </c>
      <c r="AB43" s="367"/>
    </row>
    <row r="44" spans="2:28" s="23" customFormat="1" ht="17.25" customHeight="1">
      <c r="B44" s="663"/>
      <c r="C44" s="644"/>
      <c r="D44" s="667"/>
      <c r="E44" s="494" t="s">
        <v>59</v>
      </c>
      <c r="F44" s="481"/>
      <c r="G44" s="334">
        <v>0.5</v>
      </c>
      <c r="H44" s="319">
        <v>1</v>
      </c>
      <c r="I44" s="440">
        <v>0.83299999999999996</v>
      </c>
      <c r="J44" s="429"/>
      <c r="K44" s="318"/>
      <c r="L44" s="395" t="s">
        <v>129</v>
      </c>
      <c r="M44" s="498" t="s">
        <v>129</v>
      </c>
      <c r="N44" s="575"/>
      <c r="O44" s="319"/>
      <c r="P44" s="395"/>
      <c r="Q44" s="186"/>
      <c r="R44" s="186"/>
      <c r="S44" s="186"/>
      <c r="T44" s="186"/>
      <c r="U44" s="186"/>
      <c r="V44" s="217"/>
      <c r="W44" s="534"/>
      <c r="X44" s="367" t="s">
        <v>137</v>
      </c>
      <c r="Y44" s="367"/>
      <c r="Z44" s="367"/>
      <c r="AA44" s="367"/>
      <c r="AB44" s="367"/>
    </row>
    <row r="45" spans="2:28" s="23" customFormat="1" ht="17.25" customHeight="1">
      <c r="B45" s="663"/>
      <c r="C45" s="644"/>
      <c r="D45" s="667" t="s">
        <v>60</v>
      </c>
      <c r="E45" s="494" t="s">
        <v>61</v>
      </c>
      <c r="F45" s="482"/>
      <c r="G45" s="334">
        <v>0.45850000000000002</v>
      </c>
      <c r="H45" s="319">
        <v>0.48399999999999999</v>
      </c>
      <c r="I45" s="415">
        <v>0.57850000000000001</v>
      </c>
      <c r="J45" s="428"/>
      <c r="K45" s="318">
        <v>0</v>
      </c>
      <c r="L45" s="395">
        <v>0.32300000000000001</v>
      </c>
      <c r="M45" s="498" t="s">
        <v>129</v>
      </c>
      <c r="N45" s="575"/>
      <c r="O45" s="319"/>
      <c r="P45" s="395"/>
      <c r="Q45" s="186"/>
      <c r="R45" s="186"/>
      <c r="S45" s="186"/>
      <c r="T45" s="186"/>
      <c r="U45" s="186"/>
      <c r="V45" s="217"/>
      <c r="W45" s="534"/>
      <c r="X45" s="367" t="s">
        <v>137</v>
      </c>
      <c r="Y45" s="367"/>
      <c r="Z45" s="367"/>
      <c r="AB45" s="367"/>
    </row>
    <row r="46" spans="2:28" s="23" customFormat="1" ht="17.25" customHeight="1">
      <c r="B46" s="663"/>
      <c r="C46" s="644"/>
      <c r="D46" s="667"/>
      <c r="E46" s="494" t="s">
        <v>63</v>
      </c>
      <c r="F46" s="481"/>
      <c r="G46" s="334">
        <v>0.51149999999999995</v>
      </c>
      <c r="H46" s="319">
        <v>0.5</v>
      </c>
      <c r="I46" s="441" t="s">
        <v>139</v>
      </c>
      <c r="J46" s="430"/>
      <c r="K46" s="318">
        <v>0</v>
      </c>
      <c r="L46" s="395">
        <v>0.58399999999999996</v>
      </c>
      <c r="M46" s="498" t="s">
        <v>129</v>
      </c>
      <c r="N46" s="575"/>
      <c r="O46" s="319"/>
      <c r="P46" s="395"/>
      <c r="Q46" s="186"/>
      <c r="R46" s="186"/>
      <c r="S46" s="186"/>
      <c r="T46" s="186"/>
      <c r="U46" s="186"/>
      <c r="V46" s="217"/>
      <c r="W46" s="534"/>
      <c r="X46" s="367" t="s">
        <v>137</v>
      </c>
      <c r="Y46" s="367"/>
      <c r="Z46" s="367"/>
      <c r="AA46" s="367"/>
      <c r="AB46" s="367"/>
    </row>
    <row r="47" spans="2:28" s="23" customFormat="1" ht="17.25" customHeight="1">
      <c r="B47" s="663"/>
      <c r="C47" s="644"/>
      <c r="D47" s="668" t="s">
        <v>140</v>
      </c>
      <c r="E47" s="495" t="s">
        <v>65</v>
      </c>
      <c r="F47" s="447"/>
      <c r="G47" s="313">
        <v>0.74</v>
      </c>
      <c r="H47" s="269">
        <v>0.95</v>
      </c>
      <c r="I47" s="394">
        <v>0.95</v>
      </c>
      <c r="J47" s="396">
        <v>0.95</v>
      </c>
      <c r="K47" s="269">
        <v>0.95</v>
      </c>
      <c r="L47" s="394">
        <v>0.97199999999999998</v>
      </c>
      <c r="M47" s="545">
        <v>0.97199999999999998</v>
      </c>
      <c r="N47" s="576">
        <v>0.97199999999999998</v>
      </c>
      <c r="O47" s="269"/>
      <c r="P47" s="394"/>
      <c r="Q47" s="187"/>
      <c r="R47" s="187"/>
      <c r="S47" s="187"/>
      <c r="T47" s="187"/>
      <c r="U47" s="187"/>
      <c r="V47" s="216"/>
      <c r="W47" s="534"/>
      <c r="X47" s="367" t="s">
        <v>141</v>
      </c>
      <c r="Y47" s="367"/>
      <c r="Z47" s="367"/>
      <c r="AA47" s="367"/>
      <c r="AB47" s="367"/>
    </row>
    <row r="48" spans="2:28" s="23" customFormat="1" ht="17.25" customHeight="1">
      <c r="B48" s="663"/>
      <c r="C48" s="644"/>
      <c r="D48" s="668"/>
      <c r="E48" s="495" t="s">
        <v>66</v>
      </c>
      <c r="F48" s="447"/>
      <c r="G48" s="313">
        <v>0.22</v>
      </c>
      <c r="H48" s="269">
        <v>0.51</v>
      </c>
      <c r="I48" s="414">
        <v>0.56999999999999995</v>
      </c>
      <c r="J48" s="461">
        <v>0.6</v>
      </c>
      <c r="K48" s="462">
        <v>0.6</v>
      </c>
      <c r="L48" s="466">
        <v>0.67</v>
      </c>
      <c r="M48" s="502">
        <v>0.67</v>
      </c>
      <c r="N48" s="464">
        <v>0.67</v>
      </c>
      <c r="O48" s="464">
        <v>0.74</v>
      </c>
      <c r="P48" s="394"/>
      <c r="Q48" s="187"/>
      <c r="R48" s="187"/>
      <c r="S48" s="187"/>
      <c r="T48" s="187"/>
      <c r="U48" s="187"/>
      <c r="V48" s="216"/>
      <c r="W48" s="534"/>
      <c r="X48" s="367" t="s">
        <v>137</v>
      </c>
      <c r="Y48" s="367"/>
      <c r="Z48" s="367"/>
      <c r="AA48" s="367"/>
      <c r="AB48" s="367"/>
    </row>
    <row r="49" spans="2:31" s="23" customFormat="1" ht="17.25" customHeight="1">
      <c r="B49" s="663"/>
      <c r="C49" s="644"/>
      <c r="D49" s="668"/>
      <c r="E49" s="495" t="s">
        <v>68</v>
      </c>
      <c r="F49" s="447"/>
      <c r="G49" s="313">
        <v>0.21</v>
      </c>
      <c r="H49" s="269">
        <v>0.4</v>
      </c>
      <c r="I49" s="414">
        <v>0.4</v>
      </c>
      <c r="J49" s="463">
        <v>0.48</v>
      </c>
      <c r="K49" s="464">
        <v>0.48</v>
      </c>
      <c r="L49" s="467">
        <v>0.48</v>
      </c>
      <c r="M49" s="502">
        <v>0.48</v>
      </c>
      <c r="N49" s="464">
        <v>0.48</v>
      </c>
      <c r="O49" s="464">
        <v>0.54</v>
      </c>
      <c r="P49" s="394"/>
      <c r="Q49" s="187"/>
      <c r="R49" s="187"/>
      <c r="S49" s="187"/>
      <c r="T49" s="187"/>
      <c r="U49" s="187"/>
      <c r="V49" s="216"/>
      <c r="W49" s="534"/>
      <c r="X49" s="367" t="s">
        <v>137</v>
      </c>
      <c r="Y49" s="367"/>
      <c r="Z49" s="367"/>
      <c r="AA49" s="367"/>
      <c r="AB49" s="367"/>
    </row>
    <row r="50" spans="2:31" s="23" customFormat="1" ht="17.25" customHeight="1">
      <c r="B50" s="663"/>
      <c r="C50" s="644"/>
      <c r="D50" s="668"/>
      <c r="E50" s="495" t="s">
        <v>69</v>
      </c>
      <c r="F50" s="447"/>
      <c r="G50" s="313">
        <v>0.03</v>
      </c>
      <c r="H50" s="269">
        <v>0.31</v>
      </c>
      <c r="I50" s="414">
        <v>0.31</v>
      </c>
      <c r="J50" s="546">
        <v>0.76</v>
      </c>
      <c r="K50" s="547">
        <v>0.76</v>
      </c>
      <c r="L50" s="548">
        <v>0.76</v>
      </c>
      <c r="M50" s="549">
        <v>0.76</v>
      </c>
      <c r="N50" s="547">
        <v>0.76</v>
      </c>
      <c r="O50" s="269">
        <v>0.9</v>
      </c>
      <c r="P50" s="394"/>
      <c r="Q50" s="187"/>
      <c r="R50" s="187"/>
      <c r="S50" s="187"/>
      <c r="T50" s="187"/>
      <c r="U50" s="187"/>
      <c r="V50" s="216"/>
      <c r="W50" s="536"/>
      <c r="X50" s="367" t="s">
        <v>137</v>
      </c>
      <c r="Y50" s="367"/>
      <c r="Z50" s="367"/>
      <c r="AA50" s="367"/>
      <c r="AB50" s="367"/>
    </row>
    <row r="51" spans="2:31" s="23" customFormat="1" ht="17.25" customHeight="1" outlineLevel="1">
      <c r="B51" s="663"/>
      <c r="C51" s="644" t="s">
        <v>91</v>
      </c>
      <c r="D51" s="667" t="s">
        <v>51</v>
      </c>
      <c r="E51" s="494" t="s">
        <v>52</v>
      </c>
      <c r="F51" s="481"/>
      <c r="G51" s="338"/>
      <c r="H51" s="338">
        <v>0.34100000000000003</v>
      </c>
      <c r="I51" s="442">
        <f>(165+217)/660</f>
        <v>0.57878787878787874</v>
      </c>
      <c r="J51" s="432">
        <v>0</v>
      </c>
      <c r="K51" s="336">
        <v>0</v>
      </c>
      <c r="L51" s="398">
        <v>0.46100000000000002</v>
      </c>
      <c r="M51" s="499">
        <v>0.46100000000000002</v>
      </c>
      <c r="N51" s="577"/>
      <c r="O51" s="599"/>
      <c r="P51" s="618"/>
      <c r="Q51" s="189"/>
      <c r="R51" s="190"/>
      <c r="S51" s="190"/>
      <c r="T51" s="189"/>
      <c r="U51" s="189"/>
      <c r="V51" s="222"/>
      <c r="W51" s="535" t="s">
        <v>185</v>
      </c>
      <c r="X51" s="537" t="s">
        <v>186</v>
      </c>
      <c r="Y51" s="367"/>
      <c r="Z51" s="367"/>
      <c r="AA51" s="367"/>
      <c r="AB51" s="367"/>
    </row>
    <row r="52" spans="2:31" s="23" customFormat="1" ht="17.25" customHeight="1" outlineLevel="1">
      <c r="B52" s="663"/>
      <c r="C52" s="644"/>
      <c r="D52" s="667"/>
      <c r="E52" s="494" t="s">
        <v>46</v>
      </c>
      <c r="F52" s="481"/>
      <c r="G52" s="336"/>
      <c r="H52" s="338">
        <v>0.55000000000000004</v>
      </c>
      <c r="I52" s="540">
        <v>0.70699999999999996</v>
      </c>
      <c r="J52" s="433">
        <v>0</v>
      </c>
      <c r="K52" s="336">
        <v>0</v>
      </c>
      <c r="L52" s="398" t="s">
        <v>129</v>
      </c>
      <c r="M52" s="500" t="s">
        <v>129</v>
      </c>
      <c r="N52" s="578"/>
      <c r="O52" s="579"/>
      <c r="P52" s="618"/>
      <c r="Q52" s="189"/>
      <c r="R52" s="190"/>
      <c r="S52" s="190"/>
      <c r="T52" s="189"/>
      <c r="U52" s="189"/>
      <c r="V52" s="222"/>
      <c r="W52" s="536"/>
      <c r="X52" s="367" t="s">
        <v>137</v>
      </c>
      <c r="Y52" s="367"/>
      <c r="Z52" s="367"/>
      <c r="AA52" s="367"/>
      <c r="AB52" s="367"/>
    </row>
    <row r="53" spans="2:31" s="23" customFormat="1" ht="17.25" customHeight="1" outlineLevel="1">
      <c r="B53" s="663"/>
      <c r="C53" s="644"/>
      <c r="D53" s="667"/>
      <c r="E53" s="494" t="s">
        <v>48</v>
      </c>
      <c r="F53" s="481"/>
      <c r="G53" s="336"/>
      <c r="H53" s="338">
        <v>0.47899999999999998</v>
      </c>
      <c r="I53" s="540">
        <v>0.73640000000000005</v>
      </c>
      <c r="J53" s="433">
        <v>0</v>
      </c>
      <c r="K53" s="336">
        <v>0</v>
      </c>
      <c r="L53" s="398">
        <v>0.439</v>
      </c>
      <c r="M53" s="500">
        <v>0.439</v>
      </c>
      <c r="N53" s="578"/>
      <c r="O53" s="579">
        <v>0.38119999999999998</v>
      </c>
      <c r="P53" s="618"/>
      <c r="Q53" s="189"/>
      <c r="R53" s="190"/>
      <c r="S53" s="190"/>
      <c r="T53" s="189"/>
      <c r="U53" s="189"/>
      <c r="V53" s="222"/>
      <c r="W53" s="536"/>
      <c r="X53" s="367" t="s">
        <v>137</v>
      </c>
      <c r="Y53" s="368"/>
      <c r="Z53" s="368"/>
      <c r="AA53" s="368"/>
      <c r="AB53" s="542"/>
      <c r="AC53" s="591">
        <v>46088</v>
      </c>
      <c r="AD53" s="591">
        <v>46094</v>
      </c>
      <c r="AE53" s="591">
        <v>46101</v>
      </c>
    </row>
    <row r="54" spans="2:31" s="23" customFormat="1" ht="17.25" customHeight="1" outlineLevel="1">
      <c r="B54" s="663"/>
      <c r="C54" s="644"/>
      <c r="D54" s="667"/>
      <c r="E54" s="496" t="s">
        <v>54</v>
      </c>
      <c r="F54" s="481"/>
      <c r="G54" s="336"/>
      <c r="H54" s="539">
        <v>0.79500000000000004</v>
      </c>
      <c r="I54" s="540">
        <v>0.79800000000000004</v>
      </c>
      <c r="J54" s="433">
        <v>0</v>
      </c>
      <c r="K54" s="336">
        <v>0</v>
      </c>
      <c r="L54" s="398">
        <v>0.39500000000000002</v>
      </c>
      <c r="M54" s="589">
        <v>0.5</v>
      </c>
      <c r="N54" s="610">
        <v>0.25969999999999999</v>
      </c>
      <c r="O54" s="595">
        <v>0.30940000000000001</v>
      </c>
      <c r="P54" s="619"/>
      <c r="Q54" s="189"/>
      <c r="R54" s="190"/>
      <c r="S54" s="190"/>
      <c r="T54" s="189"/>
      <c r="U54" s="189"/>
      <c r="V54" s="222"/>
      <c r="W54" s="535" t="s">
        <v>183</v>
      </c>
      <c r="X54" s="367" t="s">
        <v>137</v>
      </c>
      <c r="Y54" s="629" t="s">
        <v>187</v>
      </c>
      <c r="Z54" s="368"/>
      <c r="AA54" s="368"/>
      <c r="AB54" s="368"/>
      <c r="AC54" s="541">
        <v>0.19059999999999999</v>
      </c>
      <c r="AD54" s="541">
        <v>0.25969999999999999</v>
      </c>
      <c r="AE54" s="541">
        <v>0.30940000000000001</v>
      </c>
    </row>
    <row r="55" spans="2:31" s="23" customFormat="1" ht="17.25" customHeight="1" outlineLevel="1">
      <c r="B55" s="663"/>
      <c r="C55" s="644"/>
      <c r="D55" s="667" t="s">
        <v>55</v>
      </c>
      <c r="E55" s="494" t="s">
        <v>56</v>
      </c>
      <c r="F55" s="482"/>
      <c r="G55" s="336"/>
      <c r="H55" s="338">
        <v>1</v>
      </c>
      <c r="I55" s="444">
        <v>1</v>
      </c>
      <c r="J55" s="434">
        <v>0</v>
      </c>
      <c r="K55" s="341">
        <v>0</v>
      </c>
      <c r="L55" s="435">
        <v>1</v>
      </c>
      <c r="M55" s="501">
        <v>1</v>
      </c>
      <c r="N55" s="590"/>
      <c r="O55" s="590"/>
      <c r="P55" s="618">
        <f>(1+2)/21</f>
        <v>0.14285714285714285</v>
      </c>
      <c r="Q55" s="189"/>
      <c r="R55" s="191"/>
      <c r="S55" s="190"/>
      <c r="T55" s="195"/>
      <c r="U55" s="195"/>
      <c r="V55" s="223"/>
      <c r="W55" s="534"/>
      <c r="X55" s="367" t="s">
        <v>137</v>
      </c>
      <c r="Y55" s="367" t="s">
        <v>188</v>
      </c>
      <c r="Z55" s="367"/>
      <c r="AA55" s="367"/>
      <c r="AB55" s="367"/>
      <c r="AC55" s="367" t="s">
        <v>189</v>
      </c>
      <c r="AE55" s="625">
        <v>0.44369999999999998</v>
      </c>
    </row>
    <row r="56" spans="2:31" s="23" customFormat="1" ht="17.25" customHeight="1" outlineLevel="1">
      <c r="B56" s="663"/>
      <c r="C56" s="644"/>
      <c r="D56" s="667"/>
      <c r="E56" s="494" t="s">
        <v>59</v>
      </c>
      <c r="F56" s="481"/>
      <c r="G56" s="336"/>
      <c r="H56" s="338">
        <v>1</v>
      </c>
      <c r="I56" s="444">
        <v>1</v>
      </c>
      <c r="J56" s="434">
        <v>0</v>
      </c>
      <c r="K56" s="336">
        <v>0</v>
      </c>
      <c r="L56" s="398">
        <v>1</v>
      </c>
      <c r="M56" s="500">
        <v>1</v>
      </c>
      <c r="N56" s="579"/>
      <c r="O56" s="579"/>
      <c r="P56" s="618">
        <f>(1+6)/21</f>
        <v>0.33333333333333331</v>
      </c>
      <c r="Q56" s="189"/>
      <c r="R56" s="191"/>
      <c r="S56" s="190"/>
      <c r="T56" s="189"/>
      <c r="U56" s="189"/>
      <c r="V56" s="223"/>
      <c r="W56" s="534"/>
      <c r="X56" s="367" t="s">
        <v>137</v>
      </c>
      <c r="Y56" s="367"/>
      <c r="Z56" s="367"/>
      <c r="AA56" s="367"/>
      <c r="AB56" s="367"/>
    </row>
    <row r="57" spans="2:31" s="23" customFormat="1" ht="17.25" customHeight="1" outlineLevel="1">
      <c r="B57" s="663"/>
      <c r="C57" s="644"/>
      <c r="D57" s="667" t="s">
        <v>60</v>
      </c>
      <c r="E57" s="494" t="s">
        <v>61</v>
      </c>
      <c r="F57" s="482"/>
      <c r="G57" s="336"/>
      <c r="H57" s="338">
        <v>0.58799999999999997</v>
      </c>
      <c r="I57" s="443">
        <v>0.70499999999999996</v>
      </c>
      <c r="J57" s="433">
        <v>0</v>
      </c>
      <c r="K57" s="336">
        <v>0</v>
      </c>
      <c r="L57" s="398">
        <v>0.5</v>
      </c>
      <c r="M57" s="500">
        <v>0.5</v>
      </c>
      <c r="N57" s="579"/>
      <c r="O57" s="579"/>
      <c r="P57" s="618">
        <f>(8+10+2)/38</f>
        <v>0.52631578947368418</v>
      </c>
      <c r="Q57" s="189"/>
      <c r="R57" s="191"/>
      <c r="S57" s="190"/>
      <c r="T57" s="189"/>
      <c r="U57" s="189"/>
      <c r="V57" s="223"/>
      <c r="W57" s="534"/>
      <c r="X57" s="367" t="s">
        <v>137</v>
      </c>
      <c r="Y57" s="367"/>
      <c r="Z57" s="367"/>
      <c r="AA57" s="367"/>
      <c r="AB57" s="367"/>
    </row>
    <row r="58" spans="2:31" s="23" customFormat="1" ht="17.25" customHeight="1" outlineLevel="1">
      <c r="B58" s="663"/>
      <c r="C58" s="644"/>
      <c r="D58" s="667"/>
      <c r="E58" s="494" t="s">
        <v>63</v>
      </c>
      <c r="F58" s="481"/>
      <c r="G58" s="336"/>
      <c r="H58" s="338">
        <v>0.94099999999999995</v>
      </c>
      <c r="I58" s="550" t="s">
        <v>139</v>
      </c>
      <c r="J58" s="551"/>
      <c r="K58" s="552">
        <v>0</v>
      </c>
      <c r="L58" s="569">
        <v>0.5</v>
      </c>
      <c r="M58" s="568">
        <v>0.5</v>
      </c>
      <c r="N58" s="580"/>
      <c r="O58" s="579"/>
      <c r="P58" s="618">
        <f>(2+2+3)/38</f>
        <v>0.18421052631578946</v>
      </c>
      <c r="Q58" s="189"/>
      <c r="R58" s="191"/>
      <c r="S58" s="190"/>
      <c r="T58" s="189"/>
      <c r="U58" s="189"/>
      <c r="V58" s="218"/>
      <c r="W58" s="534"/>
      <c r="X58" s="367" t="s">
        <v>137</v>
      </c>
      <c r="Y58" s="367"/>
      <c r="Z58" s="367"/>
      <c r="AA58" s="367"/>
      <c r="AB58" s="367"/>
    </row>
    <row r="59" spans="2:31" s="23" customFormat="1" ht="17.25" customHeight="1" outlineLevel="1">
      <c r="B59" s="663"/>
      <c r="C59" s="644"/>
      <c r="D59" s="668" t="s">
        <v>64</v>
      </c>
      <c r="E59" s="495" t="s">
        <v>65</v>
      </c>
      <c r="F59" s="447"/>
      <c r="G59" s="553"/>
      <c r="H59" s="554">
        <v>0.95</v>
      </c>
      <c r="I59" s="555">
        <v>0.95</v>
      </c>
      <c r="J59" s="556">
        <v>0.95</v>
      </c>
      <c r="K59" s="557">
        <v>0.95</v>
      </c>
      <c r="L59" s="558">
        <v>0.97199999999999998</v>
      </c>
      <c r="M59" s="545">
        <v>0.97199999999999998</v>
      </c>
      <c r="N59" s="576">
        <v>0.97199999999999998</v>
      </c>
      <c r="O59" s="464">
        <v>0.98</v>
      </c>
      <c r="P59" s="394"/>
      <c r="Q59" s="189"/>
      <c r="R59" s="191"/>
      <c r="S59" s="190"/>
      <c r="T59" s="189"/>
      <c r="U59" s="189"/>
      <c r="V59" s="218"/>
      <c r="W59" s="534"/>
      <c r="X59" s="367" t="s">
        <v>141</v>
      </c>
      <c r="Y59" s="367"/>
      <c r="Z59" s="367"/>
      <c r="AA59" s="367"/>
      <c r="AB59" s="367"/>
    </row>
    <row r="60" spans="2:31" s="23" customFormat="1" ht="17.25" customHeight="1" outlineLevel="1">
      <c r="B60" s="663"/>
      <c r="C60" s="644"/>
      <c r="D60" s="668"/>
      <c r="E60" s="495" t="s">
        <v>66</v>
      </c>
      <c r="F60" s="447"/>
      <c r="G60" s="553"/>
      <c r="H60" s="554">
        <v>0.51</v>
      </c>
      <c r="I60" s="414">
        <v>0.56999999999999995</v>
      </c>
      <c r="J60" s="431">
        <v>0.6</v>
      </c>
      <c r="K60" s="414">
        <v>0.6</v>
      </c>
      <c r="L60" s="466">
        <v>0.67</v>
      </c>
      <c r="M60" s="502">
        <v>0.67</v>
      </c>
      <c r="N60" s="464">
        <v>0.67</v>
      </c>
      <c r="O60" s="464">
        <v>0.74</v>
      </c>
      <c r="P60" s="464">
        <v>0.74</v>
      </c>
      <c r="Q60" s="189"/>
      <c r="R60" s="191"/>
      <c r="S60" s="190"/>
      <c r="T60" s="189"/>
      <c r="U60" s="189"/>
      <c r="V60" s="223"/>
      <c r="W60" s="561" t="s">
        <v>190</v>
      </c>
      <c r="X60" s="367" t="s">
        <v>137</v>
      </c>
      <c r="Y60" s="367" t="s">
        <v>191</v>
      </c>
      <c r="Z60" s="367"/>
      <c r="AA60" s="367"/>
      <c r="AB60" s="367"/>
    </row>
    <row r="61" spans="2:31" s="23" customFormat="1" ht="17.25" customHeight="1" outlineLevel="1">
      <c r="B61" s="663"/>
      <c r="C61" s="644"/>
      <c r="D61" s="668"/>
      <c r="E61" s="495" t="s">
        <v>68</v>
      </c>
      <c r="F61" s="447"/>
      <c r="G61" s="553"/>
      <c r="H61" s="554">
        <v>0.4</v>
      </c>
      <c r="I61" s="414">
        <v>0.4</v>
      </c>
      <c r="J61" s="431">
        <v>0.48</v>
      </c>
      <c r="K61" s="414">
        <v>0.48</v>
      </c>
      <c r="L61" s="468">
        <v>0.48</v>
      </c>
      <c r="M61" s="502">
        <v>0.48</v>
      </c>
      <c r="N61" s="464">
        <v>0.48</v>
      </c>
      <c r="O61" s="464">
        <v>0.54</v>
      </c>
      <c r="P61" s="464">
        <v>0.54</v>
      </c>
      <c r="Q61" s="189"/>
      <c r="R61" s="191"/>
      <c r="S61" s="190"/>
      <c r="T61" s="189"/>
      <c r="U61" s="189"/>
      <c r="V61" s="223"/>
      <c r="W61" s="534"/>
      <c r="X61" s="367" t="s">
        <v>137</v>
      </c>
      <c r="Y61" s="367" t="s">
        <v>192</v>
      </c>
      <c r="Z61" s="367"/>
      <c r="AA61" s="367"/>
      <c r="AB61" s="367"/>
    </row>
    <row r="62" spans="2:31" s="23" customFormat="1" ht="17.25" customHeight="1" outlineLevel="1">
      <c r="B62" s="663"/>
      <c r="C62" s="644"/>
      <c r="D62" s="668"/>
      <c r="E62" s="495" t="s">
        <v>69</v>
      </c>
      <c r="F62" s="447"/>
      <c r="G62" s="553"/>
      <c r="H62" s="554">
        <v>0.31</v>
      </c>
      <c r="I62" s="414">
        <v>0.31</v>
      </c>
      <c r="J62" s="431">
        <v>0.76</v>
      </c>
      <c r="K62" s="414">
        <v>0.76</v>
      </c>
      <c r="L62" s="468">
        <v>0.76</v>
      </c>
      <c r="M62" s="549">
        <v>0.76</v>
      </c>
      <c r="N62" s="547">
        <v>0.76</v>
      </c>
      <c r="O62" s="547">
        <v>0.9</v>
      </c>
      <c r="P62" s="547">
        <v>0.9</v>
      </c>
      <c r="Q62" s="189"/>
      <c r="R62" s="191"/>
      <c r="S62" s="190"/>
      <c r="T62" s="189"/>
      <c r="U62" s="189"/>
      <c r="V62" s="223"/>
      <c r="W62" s="561" t="s">
        <v>193</v>
      </c>
      <c r="X62" s="367" t="s">
        <v>137</v>
      </c>
      <c r="Y62" s="367"/>
      <c r="Z62" s="367"/>
      <c r="AA62" s="367"/>
      <c r="AB62" s="367"/>
    </row>
    <row r="63" spans="2:31" s="23" customFormat="1" ht="17.25" customHeight="1" outlineLevel="1">
      <c r="B63" s="663"/>
      <c r="C63" s="644" t="s">
        <v>92</v>
      </c>
      <c r="D63" s="667" t="s">
        <v>51</v>
      </c>
      <c r="E63" s="494" t="s">
        <v>52</v>
      </c>
      <c r="F63" s="481"/>
      <c r="G63" s="336"/>
      <c r="H63" s="338"/>
      <c r="I63" s="445"/>
      <c r="J63" s="436"/>
      <c r="K63" s="336"/>
      <c r="L63" s="398"/>
      <c r="M63" s="448"/>
      <c r="N63" s="571"/>
      <c r="O63" s="571"/>
      <c r="P63" s="618"/>
      <c r="Q63" s="189"/>
      <c r="R63" s="190"/>
      <c r="S63" s="190"/>
      <c r="T63" s="189"/>
      <c r="U63" s="189"/>
      <c r="V63" s="222"/>
      <c r="W63" s="534"/>
      <c r="X63" s="367"/>
      <c r="Y63" s="367"/>
      <c r="Z63" s="367"/>
      <c r="AA63" s="367"/>
      <c r="AB63" s="367"/>
    </row>
    <row r="64" spans="2:31" s="23" customFormat="1" ht="17.25" customHeight="1" outlineLevel="1">
      <c r="B64" s="663"/>
      <c r="C64" s="644"/>
      <c r="D64" s="667"/>
      <c r="E64" s="494"/>
      <c r="F64" s="481"/>
      <c r="G64" s="336"/>
      <c r="H64" s="338"/>
      <c r="I64" s="445"/>
      <c r="J64" s="436"/>
      <c r="K64" s="336"/>
      <c r="L64" s="398"/>
      <c r="M64" s="448"/>
      <c r="N64" s="571"/>
      <c r="O64" s="334"/>
      <c r="P64" s="620"/>
      <c r="Q64" s="189"/>
      <c r="R64" s="190"/>
      <c r="S64" s="190"/>
      <c r="T64" s="189"/>
      <c r="U64" s="189"/>
      <c r="V64" s="222"/>
      <c r="W64" s="534"/>
      <c r="X64" s="367"/>
      <c r="Y64" s="367"/>
      <c r="Z64" s="367"/>
      <c r="AA64" s="367"/>
      <c r="AB64" s="367"/>
    </row>
    <row r="65" spans="1:28" s="23" customFormat="1" ht="17.25" customHeight="1" outlineLevel="1">
      <c r="B65" s="663"/>
      <c r="C65" s="644"/>
      <c r="D65" s="667"/>
      <c r="E65" s="494" t="s">
        <v>46</v>
      </c>
      <c r="F65" s="481"/>
      <c r="G65" s="336"/>
      <c r="H65" s="338"/>
      <c r="I65" s="445"/>
      <c r="J65" s="436"/>
      <c r="K65" s="336"/>
      <c r="L65" s="398"/>
      <c r="M65" s="448"/>
      <c r="N65" s="571"/>
      <c r="O65" s="334"/>
      <c r="P65" s="618"/>
      <c r="Q65" s="189"/>
      <c r="R65" s="190"/>
      <c r="S65" s="190"/>
      <c r="T65" s="189"/>
      <c r="U65" s="189"/>
      <c r="V65" s="222"/>
      <c r="W65" s="534"/>
      <c r="X65" s="367"/>
      <c r="Y65" s="367"/>
      <c r="Z65" s="367"/>
      <c r="AA65" s="367"/>
      <c r="AB65" s="367"/>
    </row>
    <row r="66" spans="1:28" s="23" customFormat="1" ht="17.25" customHeight="1" outlineLevel="1">
      <c r="B66" s="663"/>
      <c r="C66" s="644"/>
      <c r="D66" s="667"/>
      <c r="E66" s="494" t="s">
        <v>48</v>
      </c>
      <c r="F66" s="481"/>
      <c r="G66" s="336"/>
      <c r="H66" s="338"/>
      <c r="I66" s="445"/>
      <c r="J66" s="436"/>
      <c r="K66" s="336"/>
      <c r="L66" s="398"/>
      <c r="M66" s="448"/>
      <c r="N66" s="571"/>
      <c r="O66" s="334"/>
      <c r="P66" s="618"/>
      <c r="Q66" s="189"/>
      <c r="R66" s="190"/>
      <c r="S66" s="190"/>
      <c r="T66" s="189"/>
      <c r="U66" s="189"/>
      <c r="V66" s="222"/>
      <c r="W66" s="534"/>
      <c r="X66" s="367"/>
      <c r="Y66" s="367"/>
      <c r="Z66" s="367"/>
      <c r="AA66" s="367"/>
      <c r="AB66" s="367"/>
    </row>
    <row r="67" spans="1:28" s="23" customFormat="1" ht="17.25" customHeight="1" outlineLevel="1">
      <c r="B67" s="663"/>
      <c r="C67" s="644"/>
      <c r="D67" s="667"/>
      <c r="E67" s="494" t="s">
        <v>54</v>
      </c>
      <c r="F67" s="481"/>
      <c r="G67" s="336"/>
      <c r="H67" s="338"/>
      <c r="I67" s="445"/>
      <c r="J67" s="436"/>
      <c r="K67" s="336"/>
      <c r="L67" s="398"/>
      <c r="M67" s="448"/>
      <c r="N67" s="571"/>
      <c r="O67" s="334"/>
      <c r="P67" s="618"/>
      <c r="Q67" s="189"/>
      <c r="R67" s="190"/>
      <c r="S67" s="190"/>
      <c r="T67" s="189"/>
      <c r="U67" s="189"/>
      <c r="V67" s="222"/>
      <c r="W67" s="534"/>
      <c r="X67" s="367"/>
      <c r="Y67" s="367"/>
      <c r="Z67" s="367"/>
      <c r="AA67" s="367"/>
      <c r="AB67" s="367"/>
    </row>
    <row r="68" spans="1:28" s="23" customFormat="1" ht="17.25" customHeight="1" outlineLevel="1">
      <c r="B68" s="663"/>
      <c r="C68" s="644"/>
      <c r="D68" s="667" t="s">
        <v>55</v>
      </c>
      <c r="E68" s="494" t="s">
        <v>56</v>
      </c>
      <c r="F68" s="482"/>
      <c r="G68" s="336"/>
      <c r="H68" s="338"/>
      <c r="I68" s="445"/>
      <c r="J68" s="436"/>
      <c r="K68" s="341"/>
      <c r="L68" s="435"/>
      <c r="M68" s="448"/>
      <c r="N68" s="571"/>
      <c r="O68" s="334"/>
      <c r="P68" s="618"/>
      <c r="Q68" s="189"/>
      <c r="R68" s="191"/>
      <c r="S68" s="190"/>
      <c r="T68" s="195"/>
      <c r="U68" s="195"/>
      <c r="V68" s="223"/>
      <c r="W68" s="534"/>
      <c r="X68" s="367"/>
      <c r="Y68" s="367"/>
      <c r="Z68" s="367"/>
      <c r="AA68" s="367"/>
      <c r="AB68" s="367"/>
    </row>
    <row r="69" spans="1:28" s="23" customFormat="1" ht="17.25" customHeight="1" outlineLevel="1">
      <c r="B69" s="663"/>
      <c r="C69" s="644"/>
      <c r="D69" s="667"/>
      <c r="E69" s="494" t="s">
        <v>59</v>
      </c>
      <c r="F69" s="481"/>
      <c r="G69" s="336"/>
      <c r="H69" s="338"/>
      <c r="I69" s="445"/>
      <c r="J69" s="436"/>
      <c r="K69" s="336"/>
      <c r="L69" s="398"/>
      <c r="M69" s="448"/>
      <c r="N69" s="571"/>
      <c r="O69" s="334"/>
      <c r="P69" s="618"/>
      <c r="Q69" s="606"/>
      <c r="R69" s="607"/>
      <c r="S69" s="608"/>
      <c r="T69" s="606"/>
      <c r="U69" s="606"/>
      <c r="V69" s="609"/>
      <c r="W69" s="534"/>
      <c r="X69" s="367"/>
      <c r="Y69" s="367"/>
      <c r="Z69" s="367"/>
      <c r="AA69" s="367"/>
      <c r="AB69" s="367"/>
    </row>
    <row r="70" spans="1:28" s="23" customFormat="1" ht="17.25" customHeight="1" outlineLevel="1">
      <c r="B70" s="663"/>
      <c r="C70" s="644"/>
      <c r="D70" s="667" t="s">
        <v>60</v>
      </c>
      <c r="E70" s="494" t="s">
        <v>61</v>
      </c>
      <c r="F70" s="482"/>
      <c r="G70" s="336"/>
      <c r="H70" s="338"/>
      <c r="I70" s="445"/>
      <c r="J70" s="436"/>
      <c r="K70" s="336"/>
      <c r="L70" s="398"/>
      <c r="M70" s="448"/>
      <c r="N70" s="571"/>
      <c r="O70" s="334"/>
      <c r="P70" s="618"/>
      <c r="Q70" s="189"/>
      <c r="R70" s="191"/>
      <c r="S70" s="190"/>
      <c r="T70" s="189"/>
      <c r="U70" s="189"/>
      <c r="V70" s="223"/>
      <c r="W70" s="534"/>
      <c r="X70" s="367"/>
      <c r="Y70" s="367"/>
      <c r="Z70" s="367"/>
      <c r="AA70" s="367"/>
      <c r="AB70" s="367"/>
    </row>
    <row r="71" spans="1:28" s="23" customFormat="1" ht="17.25" customHeight="1" outlineLevel="1">
      <c r="B71" s="663"/>
      <c r="C71" s="644"/>
      <c r="D71" s="667"/>
      <c r="E71" s="494" t="s">
        <v>63</v>
      </c>
      <c r="F71" s="481"/>
      <c r="G71" s="336"/>
      <c r="H71" s="338"/>
      <c r="I71" s="445"/>
      <c r="J71" s="436"/>
      <c r="K71" s="336"/>
      <c r="L71" s="398"/>
      <c r="M71" s="449"/>
      <c r="N71" s="571"/>
      <c r="O71" s="334"/>
      <c r="P71" s="618"/>
      <c r="Q71" s="189"/>
      <c r="R71" s="191"/>
      <c r="S71" s="190"/>
      <c r="T71" s="189"/>
      <c r="U71" s="189"/>
      <c r="V71" s="218"/>
      <c r="W71" s="534"/>
      <c r="X71" s="367"/>
      <c r="Y71" s="367"/>
      <c r="Z71" s="367"/>
      <c r="AA71" s="367"/>
      <c r="AB71" s="367"/>
    </row>
    <row r="72" spans="1:28" s="23" customFormat="1" ht="17.25" customHeight="1" outlineLevel="1">
      <c r="B72" s="663"/>
      <c r="C72" s="644"/>
      <c r="D72" s="667" t="s">
        <v>64</v>
      </c>
      <c r="E72" s="494" t="s">
        <v>65</v>
      </c>
      <c r="F72" s="481"/>
      <c r="G72" s="336"/>
      <c r="H72" s="338"/>
      <c r="I72" s="445"/>
      <c r="J72" s="436"/>
      <c r="K72" s="336"/>
      <c r="L72" s="398"/>
      <c r="M72" s="449"/>
      <c r="N72" s="571"/>
      <c r="O72" s="334"/>
      <c r="P72" s="618"/>
      <c r="Q72" s="189"/>
      <c r="R72" s="191"/>
      <c r="S72" s="190"/>
      <c r="T72" s="189"/>
      <c r="U72" s="189"/>
      <c r="V72" s="218"/>
      <c r="W72" s="534"/>
      <c r="X72" s="367"/>
      <c r="Y72" s="367"/>
      <c r="Z72" s="367"/>
      <c r="AA72" s="367"/>
      <c r="AB72" s="367"/>
    </row>
    <row r="73" spans="1:28" s="23" customFormat="1" ht="17.25" customHeight="1" outlineLevel="1">
      <c r="B73" s="663"/>
      <c r="C73" s="644"/>
      <c r="D73" s="667"/>
      <c r="E73" s="494" t="s">
        <v>66</v>
      </c>
      <c r="F73" s="481"/>
      <c r="G73" s="336"/>
      <c r="H73" s="338"/>
      <c r="I73" s="445"/>
      <c r="J73" s="436"/>
      <c r="K73" s="336"/>
      <c r="L73" s="398"/>
      <c r="M73" s="448"/>
      <c r="N73" s="571"/>
      <c r="O73" s="334"/>
      <c r="P73" s="618"/>
      <c r="Q73" s="189"/>
      <c r="R73" s="191"/>
      <c r="S73" s="190"/>
      <c r="T73" s="189"/>
      <c r="U73" s="189"/>
      <c r="V73" s="223"/>
      <c r="W73" s="534"/>
      <c r="X73" s="367"/>
      <c r="Y73" s="367"/>
      <c r="Z73" s="367"/>
      <c r="AA73" s="367"/>
      <c r="AB73" s="367"/>
    </row>
    <row r="74" spans="1:28" s="23" customFormat="1" ht="17.25" customHeight="1" outlineLevel="1" thickBot="1">
      <c r="B74" s="664"/>
      <c r="C74" s="669"/>
      <c r="D74" s="670"/>
      <c r="E74" s="497" t="s">
        <v>68</v>
      </c>
      <c r="F74" s="483"/>
      <c r="G74" s="345"/>
      <c r="H74" s="347"/>
      <c r="I74" s="446"/>
      <c r="J74" s="437"/>
      <c r="K74" s="438"/>
      <c r="L74" s="439"/>
      <c r="M74" s="450"/>
      <c r="N74" s="581"/>
      <c r="O74" s="344"/>
      <c r="P74" s="621"/>
      <c r="Q74" s="219"/>
      <c r="R74" s="224"/>
      <c r="S74" s="225"/>
      <c r="T74" s="219"/>
      <c r="U74" s="219"/>
      <c r="V74" s="226"/>
      <c r="W74" s="534"/>
      <c r="X74" s="367"/>
      <c r="Y74" s="367"/>
      <c r="Z74" s="367"/>
      <c r="AA74" s="367"/>
      <c r="AB74" s="367"/>
    </row>
    <row r="75" spans="1:28" ht="17.45">
      <c r="A75" s="188"/>
      <c r="B75" s="89"/>
      <c r="C75" s="90"/>
      <c r="F75" s="155"/>
      <c r="G75" s="155"/>
      <c r="H75" s="155"/>
      <c r="I75" s="155"/>
      <c r="J75" s="155"/>
      <c r="K75" s="155"/>
      <c r="L75" s="155"/>
      <c r="M75" s="155"/>
      <c r="N75" s="155"/>
      <c r="O75" s="155"/>
      <c r="P75" s="155"/>
      <c r="Q75" s="155"/>
      <c r="R75" s="155"/>
      <c r="S75" s="155"/>
      <c r="T75" s="155"/>
      <c r="U75" s="155"/>
      <c r="V75" s="155"/>
    </row>
    <row r="76" spans="1:28" ht="17.45">
      <c r="A76" s="188"/>
      <c r="B76" s="89"/>
      <c r="C76" s="90"/>
      <c r="F76" s="155"/>
      <c r="G76" s="155"/>
      <c r="H76" s="155"/>
      <c r="I76" s="155"/>
      <c r="J76" s="155"/>
      <c r="K76" s="155"/>
      <c r="L76" s="155"/>
      <c r="M76" s="155"/>
      <c r="N76" s="155"/>
      <c r="O76" s="155"/>
      <c r="P76" s="155"/>
      <c r="Q76" s="155"/>
      <c r="R76" s="155"/>
      <c r="S76" s="155"/>
      <c r="T76" s="155"/>
      <c r="U76" s="155"/>
      <c r="V76" s="155"/>
    </row>
    <row r="77" spans="1:28" ht="17.45">
      <c r="A77" s="188"/>
      <c r="B77" s="89"/>
      <c r="C77" s="90"/>
      <c r="F77" s="155"/>
      <c r="G77" s="155"/>
      <c r="H77" s="155"/>
      <c r="I77" s="155"/>
      <c r="J77" s="155"/>
      <c r="K77" s="155"/>
      <c r="L77" s="155"/>
      <c r="M77" s="155"/>
      <c r="N77" s="155"/>
      <c r="O77" s="155"/>
      <c r="P77" s="155"/>
      <c r="Q77" s="155"/>
      <c r="R77" s="155"/>
      <c r="S77" s="155"/>
      <c r="T77" s="155"/>
      <c r="U77" s="155"/>
      <c r="V77" s="155"/>
    </row>
    <row r="78" spans="1:28" ht="17.45">
      <c r="A78" s="188"/>
      <c r="B78" s="89"/>
      <c r="C78" s="90"/>
      <c r="F78" s="155"/>
      <c r="G78" s="155"/>
      <c r="H78" s="155"/>
      <c r="I78" s="155"/>
      <c r="J78" s="155"/>
      <c r="K78" s="155"/>
      <c r="L78" s="155"/>
      <c r="M78" s="155"/>
      <c r="N78" s="155"/>
      <c r="O78" s="155"/>
      <c r="P78" s="155"/>
      <c r="Q78" s="155"/>
      <c r="R78" s="155"/>
      <c r="S78" s="155"/>
      <c r="T78" s="155"/>
      <c r="U78" s="155"/>
      <c r="V78" s="155"/>
    </row>
    <row r="79" spans="1:28" ht="17.45">
      <c r="A79" s="188"/>
      <c r="B79" s="89"/>
      <c r="C79" s="90"/>
      <c r="F79" s="155"/>
      <c r="G79" s="155"/>
      <c r="H79" s="155"/>
      <c r="I79" s="155"/>
      <c r="J79" s="155"/>
      <c r="K79" s="155"/>
      <c r="L79" s="155"/>
      <c r="M79" s="155"/>
      <c r="N79" s="155"/>
      <c r="O79" s="155"/>
      <c r="P79" s="155"/>
      <c r="Q79" s="155"/>
      <c r="R79" s="155"/>
      <c r="S79" s="155"/>
      <c r="T79" s="155"/>
      <c r="U79" s="155"/>
      <c r="V79" s="155"/>
    </row>
    <row r="80" spans="1:28" ht="17.45">
      <c r="A80" s="188"/>
      <c r="B80" s="387" t="s">
        <v>143</v>
      </c>
      <c r="F80" s="155"/>
      <c r="G80" s="155"/>
      <c r="H80" s="155"/>
      <c r="I80" s="155"/>
      <c r="J80" s="155"/>
      <c r="K80" s="155"/>
      <c r="L80" s="155"/>
      <c r="M80" s="155"/>
      <c r="N80" s="155"/>
      <c r="O80" s="155"/>
      <c r="P80" s="155"/>
      <c r="Q80" s="155"/>
      <c r="R80" s="155"/>
      <c r="S80" s="155"/>
      <c r="T80" s="155"/>
      <c r="U80" s="155"/>
      <c r="V80" s="155"/>
    </row>
    <row r="81" spans="1:22" ht="17.45">
      <c r="A81" s="188"/>
      <c r="B81" s="388" t="s">
        <v>144</v>
      </c>
      <c r="F81" s="155"/>
      <c r="G81" s="155"/>
      <c r="H81" s="155"/>
      <c r="I81" s="155"/>
      <c r="J81" s="155"/>
      <c r="K81" s="155"/>
      <c r="L81" s="155"/>
      <c r="M81" s="155"/>
      <c r="N81" s="155"/>
      <c r="O81" s="155"/>
      <c r="P81" s="155"/>
      <c r="Q81" s="155"/>
      <c r="R81" s="155"/>
      <c r="S81" s="155"/>
      <c r="T81" s="155"/>
      <c r="U81" s="155"/>
      <c r="V81" s="155"/>
    </row>
    <row r="82" spans="1:22" ht="17.45">
      <c r="A82" s="188"/>
      <c r="B82" s="388" t="s">
        <v>145</v>
      </c>
      <c r="F82" s="155"/>
      <c r="G82" s="155"/>
      <c r="H82" s="155"/>
      <c r="I82" s="155"/>
      <c r="J82" s="155"/>
      <c r="K82" s="155"/>
      <c r="L82" s="155"/>
      <c r="M82" s="155"/>
      <c r="N82" s="155"/>
      <c r="O82" s="155"/>
      <c r="P82" s="155"/>
      <c r="Q82" s="155"/>
      <c r="R82" s="155"/>
      <c r="S82" s="155"/>
      <c r="T82" s="155"/>
      <c r="U82" s="155"/>
      <c r="V82" s="155"/>
    </row>
    <row r="83" spans="1:22" ht="16.5" customHeight="1">
      <c r="C83" s="388" t="s">
        <v>146</v>
      </c>
    </row>
    <row r="84" spans="1:22" ht="16.5" customHeight="1">
      <c r="C84" s="388" t="s">
        <v>147</v>
      </c>
    </row>
    <row r="85" spans="1:22" ht="16.5" customHeight="1">
      <c r="B85" s="387" t="s">
        <v>148</v>
      </c>
    </row>
    <row r="86" spans="1:22" ht="16.5" customHeight="1">
      <c r="B86" s="388" t="s">
        <v>149</v>
      </c>
    </row>
    <row r="87" spans="1:22" ht="16.5" customHeight="1">
      <c r="B87" s="388" t="s">
        <v>150</v>
      </c>
    </row>
    <row r="88" spans="1:22" ht="16.5" customHeight="1">
      <c r="B88" s="387" t="s">
        <v>151</v>
      </c>
    </row>
    <row r="89" spans="1:22" ht="16.5" customHeight="1">
      <c r="B89" s="388" t="s">
        <v>152</v>
      </c>
    </row>
    <row r="90" spans="1:22" ht="16.5" customHeight="1">
      <c r="B90" s="472" t="s">
        <v>194</v>
      </c>
    </row>
    <row r="91" spans="1:22" ht="16.5" customHeight="1">
      <c r="B91" s="472" t="s">
        <v>195</v>
      </c>
    </row>
    <row r="92" spans="1:22" ht="16.5" customHeight="1">
      <c r="B92" s="387" t="s">
        <v>155</v>
      </c>
    </row>
    <row r="93" spans="1:22" ht="16.5" customHeight="1">
      <c r="B93" s="388" t="s">
        <v>156</v>
      </c>
    </row>
    <row r="94" spans="1:22" ht="16.5" customHeight="1">
      <c r="B94" s="388" t="s">
        <v>157</v>
      </c>
    </row>
    <row r="95" spans="1:22" ht="16.5" customHeight="1">
      <c r="B95" s="388" t="s">
        <v>158</v>
      </c>
    </row>
    <row r="97" spans="2:2" ht="16.5" customHeight="1">
      <c r="B97" s="387" t="s">
        <v>159</v>
      </c>
    </row>
    <row r="98" spans="2:2" ht="16.5" customHeight="1">
      <c r="B98" s="388" t="s">
        <v>160</v>
      </c>
    </row>
    <row r="99" spans="2:2" ht="16.5" customHeight="1">
      <c r="B99" s="388" t="s">
        <v>161</v>
      </c>
    </row>
    <row r="100" spans="2:2" ht="16.5" customHeight="1">
      <c r="B100" s="388" t="s">
        <v>162</v>
      </c>
    </row>
    <row r="101" spans="2:2" ht="16.5" customHeight="1">
      <c r="B101" s="388" t="s">
        <v>163</v>
      </c>
    </row>
  </sheetData>
  <mergeCells count="32">
    <mergeCell ref="B39:B74"/>
    <mergeCell ref="C39:C50"/>
    <mergeCell ref="D39:D42"/>
    <mergeCell ref="D43:D44"/>
    <mergeCell ref="D45:D46"/>
    <mergeCell ref="D47:D50"/>
    <mergeCell ref="C51:C62"/>
    <mergeCell ref="D51:D54"/>
    <mergeCell ref="D55:D56"/>
    <mergeCell ref="D57:D58"/>
    <mergeCell ref="D59:D62"/>
    <mergeCell ref="C63:C74"/>
    <mergeCell ref="D63:D67"/>
    <mergeCell ref="D68:D69"/>
    <mergeCell ref="D70:D71"/>
    <mergeCell ref="D72:D74"/>
    <mergeCell ref="M2:P2"/>
    <mergeCell ref="B10:B12"/>
    <mergeCell ref="B15:B38"/>
    <mergeCell ref="C15:C21"/>
    <mergeCell ref="D16:D21"/>
    <mergeCell ref="C22:C31"/>
    <mergeCell ref="D26:D31"/>
    <mergeCell ref="C32:C38"/>
    <mergeCell ref="D33:D38"/>
    <mergeCell ref="D23:D25"/>
    <mergeCell ref="B7:B9"/>
    <mergeCell ref="E7:E9"/>
    <mergeCell ref="F2:I2"/>
    <mergeCell ref="J2:L2"/>
    <mergeCell ref="B4:B6"/>
    <mergeCell ref="E4:E6"/>
  </mergeCells>
  <phoneticPr fontId="2" type="noConversion"/>
  <hyperlinks>
    <hyperlink ref="W51" r:id="rId1" xr:uid="{47448AD7-3B06-420C-AD50-E3E4C2C7F10C}"/>
    <hyperlink ref="W42" r:id="rId2" xr:uid="{7F22D722-2556-4AA5-AC65-2DFC665CCF45}"/>
    <hyperlink ref="W54" r:id="rId3" xr:uid="{027656EB-B227-44D9-9679-CB8B3AEE6009}"/>
    <hyperlink ref="W60" r:id="rId4" xr:uid="{58A82AA6-EA52-42DB-B401-BD93AA498366}"/>
    <hyperlink ref="W62" r:id="rId5" xr:uid="{8C60D9E0-1DC0-4082-BB2C-615B54E581A8}"/>
  </hyperlinks>
  <pageMargins left="0.7" right="0.7" top="0.75" bottom="0.75" header="0.3" footer="0.3"/>
  <drawing r:id="rId6"/>
  <legacyDrawing r:id="rId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A368E-59C9-4069-82CB-0E86E4757D7D}">
  <sheetPr>
    <tabColor theme="9" tint="0.79998168889431442"/>
  </sheetPr>
  <dimension ref="A2:H32"/>
  <sheetViews>
    <sheetView topLeftCell="A12" workbookViewId="0">
      <selection activeCell="F30" sqref="F30"/>
    </sheetView>
  </sheetViews>
  <sheetFormatPr defaultColWidth="9" defaultRowHeight="16.5" customHeight="1"/>
  <cols>
    <col min="1" max="1" width="9.75" bestFit="1" customWidth="1"/>
    <col min="2" max="2" width="21.25" customWidth="1"/>
    <col min="3" max="3" width="25" hidden="1" customWidth="1"/>
    <col min="4" max="4" width="73" customWidth="1"/>
    <col min="5" max="5" width="8.5" customWidth="1"/>
    <col min="6" max="6" width="57.625" customWidth="1"/>
    <col min="7" max="7" width="8.75" customWidth="1"/>
    <col min="8" max="8" width="50.625" customWidth="1"/>
    <col min="9" max="9" width="10.125" customWidth="1"/>
  </cols>
  <sheetData>
    <row r="2" spans="1:8" ht="16.5" customHeight="1">
      <c r="A2" s="199" t="s">
        <v>3</v>
      </c>
      <c r="B2" s="199" t="s">
        <v>196</v>
      </c>
      <c r="C2" s="200"/>
      <c r="D2" s="736" t="s">
        <v>197</v>
      </c>
      <c r="E2" s="737"/>
      <c r="F2" s="738" t="s">
        <v>198</v>
      </c>
      <c r="G2" s="739"/>
    </row>
    <row r="3" spans="1:8" ht="57" customHeight="1">
      <c r="A3" s="86" t="s">
        <v>14</v>
      </c>
      <c r="B3" s="86" t="s">
        <v>199</v>
      </c>
      <c r="C3" s="182"/>
      <c r="D3" s="740" t="s">
        <v>200</v>
      </c>
      <c r="E3" s="741"/>
      <c r="F3" s="742"/>
      <c r="G3" s="743"/>
      <c r="H3" s="184"/>
    </row>
    <row r="4" spans="1:8" ht="128.25" customHeight="1">
      <c r="A4" s="86" t="s">
        <v>39</v>
      </c>
      <c r="B4" s="86" t="s">
        <v>201</v>
      </c>
      <c r="C4" s="182"/>
      <c r="D4" s="740" t="s">
        <v>202</v>
      </c>
      <c r="E4" s="741"/>
      <c r="F4" s="740" t="s">
        <v>203</v>
      </c>
      <c r="G4" s="744"/>
      <c r="H4" s="184"/>
    </row>
    <row r="5" spans="1:8" ht="7.5" customHeight="1"/>
    <row r="6" spans="1:8" ht="36" customHeight="1">
      <c r="A6" s="427" t="s">
        <v>3</v>
      </c>
      <c r="B6" s="22" t="s">
        <v>4</v>
      </c>
      <c r="C6" s="22" t="s">
        <v>5</v>
      </c>
      <c r="D6" s="22" t="s">
        <v>204</v>
      </c>
      <c r="E6" s="22" t="s">
        <v>205</v>
      </c>
      <c r="F6" s="30" t="s">
        <v>206</v>
      </c>
      <c r="G6" s="427" t="s">
        <v>207</v>
      </c>
      <c r="H6" s="47" t="s">
        <v>208</v>
      </c>
    </row>
    <row r="7" spans="1:8" s="354" customFormat="1" ht="76.5">
      <c r="A7" s="732" t="s">
        <v>14</v>
      </c>
      <c r="B7" s="426" t="s">
        <v>209</v>
      </c>
      <c r="C7" s="351" t="s">
        <v>210</v>
      </c>
      <c r="D7" s="630" t="s">
        <v>211</v>
      </c>
      <c r="E7" s="451" t="s">
        <v>212</v>
      </c>
      <c r="F7" s="630"/>
      <c r="G7" s="451" t="s">
        <v>213</v>
      </c>
      <c r="H7" s="353"/>
    </row>
    <row r="8" spans="1:8" s="354" customFormat="1" ht="63.75">
      <c r="A8" s="732"/>
      <c r="B8" s="426" t="s">
        <v>15</v>
      </c>
      <c r="C8" s="350"/>
      <c r="D8" s="631" t="s">
        <v>214</v>
      </c>
      <c r="E8" s="451" t="s">
        <v>212</v>
      </c>
      <c r="F8" s="631"/>
      <c r="G8" s="451" t="s">
        <v>213</v>
      </c>
      <c r="H8" s="356" t="s">
        <v>215</v>
      </c>
    </row>
    <row r="9" spans="1:8" s="354" customFormat="1" ht="38.25">
      <c r="A9" s="732"/>
      <c r="B9" s="426" t="s">
        <v>23</v>
      </c>
      <c r="C9" s="350"/>
      <c r="D9" s="631" t="s">
        <v>216</v>
      </c>
      <c r="E9" s="451" t="s">
        <v>212</v>
      </c>
      <c r="F9" s="631"/>
      <c r="G9" s="451" t="s">
        <v>213</v>
      </c>
      <c r="H9" s="357" t="s">
        <v>217</v>
      </c>
    </row>
    <row r="10" spans="1:8" s="354" customFormat="1" ht="25.5">
      <c r="A10" s="732"/>
      <c r="B10" s="426" t="s">
        <v>25</v>
      </c>
      <c r="C10" s="350"/>
      <c r="D10" s="631" t="s">
        <v>218</v>
      </c>
      <c r="E10" s="451" t="s">
        <v>212</v>
      </c>
      <c r="F10" s="631"/>
      <c r="G10" s="451" t="s">
        <v>213</v>
      </c>
      <c r="H10" s="356" t="s">
        <v>217</v>
      </c>
    </row>
    <row r="11" spans="1:8" s="354" customFormat="1" ht="128.25">
      <c r="A11" s="732"/>
      <c r="B11" s="426" t="s">
        <v>27</v>
      </c>
      <c r="C11" s="350"/>
      <c r="D11" s="631" t="s">
        <v>219</v>
      </c>
      <c r="E11" s="451" t="s">
        <v>212</v>
      </c>
      <c r="F11" s="631"/>
      <c r="G11" s="451" t="s">
        <v>213</v>
      </c>
      <c r="H11" s="357" t="s">
        <v>217</v>
      </c>
    </row>
    <row r="12" spans="1:8" s="354" customFormat="1" ht="128.25">
      <c r="A12" s="732"/>
      <c r="B12" s="426" t="s">
        <v>29</v>
      </c>
      <c r="C12" s="350"/>
      <c r="D12" s="631" t="s">
        <v>219</v>
      </c>
      <c r="E12" s="451" t="s">
        <v>212</v>
      </c>
      <c r="F12" s="631"/>
      <c r="G12" s="451" t="s">
        <v>213</v>
      </c>
      <c r="H12" s="357" t="s">
        <v>217</v>
      </c>
    </row>
    <row r="13" spans="1:8" s="354" customFormat="1" ht="76.5">
      <c r="A13" s="732"/>
      <c r="B13" s="426" t="s">
        <v>31</v>
      </c>
      <c r="C13" s="350"/>
      <c r="D13" s="631" t="s">
        <v>220</v>
      </c>
      <c r="E13" s="451" t="s">
        <v>212</v>
      </c>
      <c r="F13" s="631"/>
      <c r="G13" s="451" t="s">
        <v>213</v>
      </c>
      <c r="H13" s="357" t="s">
        <v>221</v>
      </c>
    </row>
    <row r="14" spans="1:8" s="354" customFormat="1" ht="25.5">
      <c r="A14" s="732"/>
      <c r="B14" s="426" t="s">
        <v>33</v>
      </c>
      <c r="C14" s="350"/>
      <c r="D14" s="631" t="s">
        <v>222</v>
      </c>
      <c r="E14" s="451" t="s">
        <v>212</v>
      </c>
      <c r="F14" s="631"/>
      <c r="G14" s="451" t="s">
        <v>213</v>
      </c>
      <c r="H14" s="357" t="s">
        <v>217</v>
      </c>
    </row>
    <row r="15" spans="1:8" s="354" customFormat="1">
      <c r="A15" s="732"/>
      <c r="B15" s="426" t="s">
        <v>36</v>
      </c>
      <c r="C15" s="350"/>
      <c r="D15" s="632"/>
      <c r="E15" s="451" t="s">
        <v>212</v>
      </c>
      <c r="F15" s="632"/>
      <c r="G15" s="451" t="s">
        <v>213</v>
      </c>
      <c r="H15" s="356" t="s">
        <v>223</v>
      </c>
    </row>
    <row r="16" spans="1:8" s="354" customFormat="1">
      <c r="A16" s="732"/>
      <c r="B16" s="426" t="s">
        <v>38</v>
      </c>
      <c r="C16" s="350"/>
      <c r="D16" s="632"/>
      <c r="E16" s="451" t="s">
        <v>212</v>
      </c>
      <c r="F16" s="632"/>
      <c r="G16" s="451" t="s">
        <v>213</v>
      </c>
      <c r="H16" s="357" t="s">
        <v>224</v>
      </c>
    </row>
    <row r="17" spans="1:8" ht="16.5" hidden="1" customHeight="1">
      <c r="A17" s="733" t="s">
        <v>39</v>
      </c>
      <c r="B17" s="419" t="s">
        <v>209</v>
      </c>
      <c r="C17" s="26"/>
      <c r="D17" s="71"/>
      <c r="E17" s="451" t="s">
        <v>212</v>
      </c>
      <c r="F17" s="71"/>
      <c r="G17" s="451" t="s">
        <v>213</v>
      </c>
      <c r="H17" s="72"/>
    </row>
    <row r="18" spans="1:8" ht="16.5" hidden="1" customHeight="1">
      <c r="A18" s="734"/>
      <c r="B18" s="419" t="s">
        <v>40</v>
      </c>
      <c r="C18" s="26"/>
      <c r="D18" s="51"/>
      <c r="E18" s="451" t="s">
        <v>212</v>
      </c>
      <c r="F18" s="51"/>
      <c r="G18" s="451" t="s">
        <v>213</v>
      </c>
      <c r="H18" s="35"/>
    </row>
    <row r="19" spans="1:8" ht="17.100000000000001" hidden="1" customHeight="1">
      <c r="A19" s="734"/>
      <c r="B19" s="419" t="s">
        <v>41</v>
      </c>
      <c r="C19" s="26"/>
      <c r="D19" s="73"/>
      <c r="E19" s="451" t="s">
        <v>212</v>
      </c>
      <c r="F19" s="73"/>
      <c r="G19" s="451" t="s">
        <v>213</v>
      </c>
      <c r="H19" s="74"/>
    </row>
    <row r="20" spans="1:8" ht="17.100000000000001" hidden="1" customHeight="1">
      <c r="A20" s="734"/>
      <c r="B20" s="419" t="s">
        <v>42</v>
      </c>
      <c r="C20" s="26"/>
      <c r="D20" s="73"/>
      <c r="E20" s="451" t="s">
        <v>212</v>
      </c>
      <c r="F20" s="73"/>
      <c r="G20" s="451" t="s">
        <v>213</v>
      </c>
      <c r="H20" s="74"/>
    </row>
    <row r="21" spans="1:8" ht="17.100000000000001" hidden="1" customHeight="1">
      <c r="A21" s="734"/>
      <c r="B21" s="419" t="s">
        <v>43</v>
      </c>
      <c r="C21" s="26"/>
      <c r="D21" s="73"/>
      <c r="E21" s="451" t="s">
        <v>212</v>
      </c>
      <c r="F21" s="73"/>
      <c r="G21" s="451" t="s">
        <v>213</v>
      </c>
      <c r="H21" s="74"/>
    </row>
    <row r="22" spans="1:8" ht="16.5" hidden="1" customHeight="1">
      <c r="A22" s="734"/>
      <c r="B22" s="419" t="s">
        <v>44</v>
      </c>
      <c r="C22" s="26"/>
      <c r="D22" s="71"/>
      <c r="E22" s="451" t="s">
        <v>212</v>
      </c>
      <c r="F22" s="71"/>
      <c r="G22" s="451" t="s">
        <v>213</v>
      </c>
      <c r="H22" s="72"/>
    </row>
    <row r="23" spans="1:8" ht="16.5" hidden="1" customHeight="1">
      <c r="A23" s="734"/>
      <c r="B23" s="419" t="s">
        <v>45</v>
      </c>
      <c r="C23" s="26"/>
      <c r="D23" s="71"/>
      <c r="E23" s="451" t="s">
        <v>212</v>
      </c>
      <c r="F23" s="71"/>
      <c r="G23" s="451" t="s">
        <v>213</v>
      </c>
      <c r="H23" s="72"/>
    </row>
    <row r="24" spans="1:8" ht="16.5" hidden="1" customHeight="1">
      <c r="A24" s="734"/>
      <c r="B24" s="419" t="s">
        <v>49</v>
      </c>
      <c r="C24" s="26"/>
      <c r="D24" s="71"/>
      <c r="E24" s="451" t="s">
        <v>212</v>
      </c>
      <c r="F24" s="71"/>
      <c r="G24" s="451" t="s">
        <v>213</v>
      </c>
      <c r="H24" s="72"/>
    </row>
    <row r="25" spans="1:8" ht="16.5" hidden="1" customHeight="1">
      <c r="A25" s="734"/>
      <c r="B25" s="419" t="s">
        <v>50</v>
      </c>
      <c r="C25" s="26"/>
      <c r="D25" s="71"/>
      <c r="E25" s="451" t="s">
        <v>212</v>
      </c>
      <c r="F25" s="71"/>
      <c r="G25" s="451" t="s">
        <v>213</v>
      </c>
      <c r="H25" s="72"/>
    </row>
    <row r="26" spans="1:8" ht="136.5" customHeight="1">
      <c r="A26" s="734"/>
      <c r="B26" s="419" t="s">
        <v>209</v>
      </c>
      <c r="C26" s="26"/>
      <c r="D26" s="71" t="s">
        <v>225</v>
      </c>
      <c r="E26" s="451" t="s">
        <v>212</v>
      </c>
      <c r="F26" s="71" t="s">
        <v>226</v>
      </c>
      <c r="G26" s="451" t="s">
        <v>213</v>
      </c>
      <c r="H26" s="72"/>
    </row>
    <row r="27" spans="1:8" ht="87" customHeight="1">
      <c r="A27" s="734"/>
      <c r="B27" s="420" t="s">
        <v>227</v>
      </c>
      <c r="C27" s="26"/>
      <c r="D27" s="454" t="s">
        <v>228</v>
      </c>
      <c r="E27" s="451" t="s">
        <v>212</v>
      </c>
      <c r="F27" s="454" t="s">
        <v>229</v>
      </c>
      <c r="G27" s="451" t="s">
        <v>213</v>
      </c>
      <c r="H27" s="72"/>
    </row>
    <row r="28" spans="1:8" ht="240.75" customHeight="1">
      <c r="A28" s="734"/>
      <c r="B28" s="420" t="s">
        <v>132</v>
      </c>
      <c r="C28" s="26"/>
      <c r="D28" s="454" t="s">
        <v>230</v>
      </c>
      <c r="E28" s="451" t="s">
        <v>212</v>
      </c>
      <c r="F28" s="454" t="s">
        <v>231</v>
      </c>
      <c r="G28" s="451" t="s">
        <v>213</v>
      </c>
      <c r="H28" s="470"/>
    </row>
    <row r="29" spans="1:8" ht="86.25" customHeight="1">
      <c r="A29" s="734"/>
      <c r="B29" s="420" t="s">
        <v>55</v>
      </c>
      <c r="C29" s="26"/>
      <c r="D29" s="71" t="s">
        <v>228</v>
      </c>
      <c r="E29" s="451" t="s">
        <v>212</v>
      </c>
      <c r="F29" s="71" t="s">
        <v>232</v>
      </c>
      <c r="G29" s="451" t="s">
        <v>213</v>
      </c>
      <c r="H29" s="74"/>
    </row>
    <row r="30" spans="1:8" ht="93" customHeight="1">
      <c r="A30" s="734"/>
      <c r="B30" s="420" t="s">
        <v>60</v>
      </c>
      <c r="C30" s="26"/>
      <c r="D30" s="71" t="s">
        <v>228</v>
      </c>
      <c r="E30" s="451" t="s">
        <v>212</v>
      </c>
      <c r="F30" s="71" t="s">
        <v>232</v>
      </c>
      <c r="G30" s="451" t="s">
        <v>213</v>
      </c>
      <c r="H30" s="72"/>
    </row>
    <row r="31" spans="1:8" ht="384.75" customHeight="1">
      <c r="A31" s="734"/>
      <c r="B31" s="420" t="s">
        <v>233</v>
      </c>
      <c r="C31" s="26"/>
      <c r="D31" s="71" t="s">
        <v>234</v>
      </c>
      <c r="E31" s="451" t="s">
        <v>212</v>
      </c>
      <c r="F31" s="454" t="s">
        <v>235</v>
      </c>
      <c r="G31" s="451" t="s">
        <v>213</v>
      </c>
      <c r="H31" s="72"/>
    </row>
    <row r="32" spans="1:8" ht="16.5" customHeight="1">
      <c r="A32" s="735"/>
      <c r="B32" s="419" t="s">
        <v>236</v>
      </c>
      <c r="C32" s="26"/>
      <c r="D32" s="71"/>
      <c r="E32" s="451" t="s">
        <v>212</v>
      </c>
      <c r="F32" s="71"/>
      <c r="G32" s="451" t="s">
        <v>213</v>
      </c>
      <c r="H32" s="72"/>
    </row>
  </sheetData>
  <mergeCells count="8">
    <mergeCell ref="A7:A16"/>
    <mergeCell ref="A17:A32"/>
    <mergeCell ref="D2:E2"/>
    <mergeCell ref="F2:G2"/>
    <mergeCell ref="D3:E3"/>
    <mergeCell ref="F3:G3"/>
    <mergeCell ref="D4:E4"/>
    <mergeCell ref="F4:G4"/>
  </mergeCells>
  <phoneticPr fontId="2" type="noConversion"/>
  <pageMargins left="0.7" right="0.7" top="0.75" bottom="0.75" header="0.3" footer="0.3"/>
  <headerFooter>
    <oddFooter>&amp;L_x000D_&amp;1#&amp;"Calibri"&amp;8&amp;K000000 [AIA - INTERNAL]</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466B8-A008-4815-B9E1-58EF9D06E1E6}">
  <sheetPr>
    <tabColor theme="9" tint="0.79998168889431442"/>
  </sheetPr>
  <dimension ref="A2:H32"/>
  <sheetViews>
    <sheetView topLeftCell="A10" workbookViewId="0">
      <selection activeCell="D31" sqref="D31"/>
    </sheetView>
  </sheetViews>
  <sheetFormatPr defaultColWidth="9" defaultRowHeight="16.5" customHeight="1"/>
  <cols>
    <col min="1" max="1" width="9.75" bestFit="1" customWidth="1"/>
    <col min="2" max="2" width="21.25" customWidth="1"/>
    <col min="3" max="3" width="25" hidden="1" customWidth="1"/>
    <col min="4" max="4" width="73" customWidth="1"/>
    <col min="5" max="5" width="8.5" customWidth="1"/>
    <col min="6" max="6" width="57.625" customWidth="1"/>
    <col min="7" max="7" width="8.75" customWidth="1"/>
    <col min="8" max="8" width="50.625" customWidth="1"/>
    <col min="9" max="9" width="10.125" customWidth="1"/>
  </cols>
  <sheetData>
    <row r="2" spans="1:8" ht="16.5" customHeight="1">
      <c r="A2" s="199" t="s">
        <v>3</v>
      </c>
      <c r="B2" s="199" t="s">
        <v>196</v>
      </c>
      <c r="C2" s="200"/>
      <c r="D2" s="736" t="s">
        <v>197</v>
      </c>
      <c r="E2" s="737"/>
      <c r="F2" s="738" t="s">
        <v>198</v>
      </c>
      <c r="G2" s="739"/>
    </row>
    <row r="3" spans="1:8" ht="57" customHeight="1">
      <c r="A3" s="86" t="s">
        <v>14</v>
      </c>
      <c r="B3" s="86" t="s">
        <v>199</v>
      </c>
      <c r="C3" s="182"/>
      <c r="D3" s="740" t="s">
        <v>200</v>
      </c>
      <c r="E3" s="741"/>
      <c r="F3" s="742"/>
      <c r="G3" s="743"/>
      <c r="H3" s="184"/>
    </row>
    <row r="4" spans="1:8" ht="128.25" customHeight="1">
      <c r="A4" s="86" t="s">
        <v>39</v>
      </c>
      <c r="B4" s="86" t="s">
        <v>201</v>
      </c>
      <c r="C4" s="182"/>
      <c r="D4" s="740" t="s">
        <v>202</v>
      </c>
      <c r="E4" s="741"/>
      <c r="F4" s="740" t="s">
        <v>203</v>
      </c>
      <c r="G4" s="744"/>
      <c r="H4" s="184"/>
    </row>
    <row r="5" spans="1:8" ht="7.5" customHeight="1"/>
    <row r="6" spans="1:8" ht="36" customHeight="1">
      <c r="A6" s="427" t="s">
        <v>3</v>
      </c>
      <c r="B6" s="22" t="s">
        <v>4</v>
      </c>
      <c r="C6" s="22" t="s">
        <v>5</v>
      </c>
      <c r="D6" s="22" t="s">
        <v>204</v>
      </c>
      <c r="E6" s="22" t="s">
        <v>205</v>
      </c>
      <c r="F6" s="30" t="s">
        <v>206</v>
      </c>
      <c r="G6" s="427" t="s">
        <v>207</v>
      </c>
      <c r="H6" s="47" t="s">
        <v>208</v>
      </c>
    </row>
    <row r="7" spans="1:8" s="354" customFormat="1" ht="290.45">
      <c r="A7" s="732" t="s">
        <v>14</v>
      </c>
      <c r="B7" s="426" t="s">
        <v>209</v>
      </c>
      <c r="C7" s="351" t="s">
        <v>210</v>
      </c>
      <c r="D7" s="630" t="s">
        <v>237</v>
      </c>
      <c r="E7" s="451" t="s">
        <v>238</v>
      </c>
      <c r="F7" s="630" t="s">
        <v>211</v>
      </c>
      <c r="G7" s="451" t="s">
        <v>212</v>
      </c>
      <c r="H7" s="353"/>
    </row>
    <row r="8" spans="1:8" s="354" customFormat="1" ht="211.15">
      <c r="A8" s="732"/>
      <c r="B8" s="426" t="s">
        <v>15</v>
      </c>
      <c r="C8" s="350"/>
      <c r="D8" s="631" t="s">
        <v>239</v>
      </c>
      <c r="E8" s="451" t="s">
        <v>238</v>
      </c>
      <c r="F8" s="631" t="s">
        <v>214</v>
      </c>
      <c r="G8" s="451" t="s">
        <v>212</v>
      </c>
      <c r="H8" s="356" t="s">
        <v>215</v>
      </c>
    </row>
    <row r="9" spans="1:8" s="354" customFormat="1" ht="105.6">
      <c r="A9" s="732"/>
      <c r="B9" s="426" t="s">
        <v>23</v>
      </c>
      <c r="C9" s="350"/>
      <c r="D9" s="631" t="s">
        <v>240</v>
      </c>
      <c r="E9" s="451" t="s">
        <v>238</v>
      </c>
      <c r="F9" s="631" t="s">
        <v>216</v>
      </c>
      <c r="G9" s="451" t="s">
        <v>212</v>
      </c>
      <c r="H9" s="357" t="s">
        <v>217</v>
      </c>
    </row>
    <row r="10" spans="1:8" s="354" customFormat="1" ht="132">
      <c r="A10" s="732"/>
      <c r="B10" s="426" t="s">
        <v>25</v>
      </c>
      <c r="C10" s="350"/>
      <c r="D10" s="631" t="s">
        <v>241</v>
      </c>
      <c r="E10" s="451" t="s">
        <v>238</v>
      </c>
      <c r="F10" s="631" t="s">
        <v>218</v>
      </c>
      <c r="G10" s="451" t="s">
        <v>212</v>
      </c>
      <c r="H10" s="356" t="s">
        <v>217</v>
      </c>
    </row>
    <row r="11" spans="1:8" s="354" customFormat="1" ht="158.44999999999999">
      <c r="A11" s="732"/>
      <c r="B11" s="426" t="s">
        <v>27</v>
      </c>
      <c r="C11" s="350"/>
      <c r="D11" s="631" t="s">
        <v>242</v>
      </c>
      <c r="E11" s="451" t="s">
        <v>238</v>
      </c>
      <c r="F11" s="631" t="s">
        <v>219</v>
      </c>
      <c r="G11" s="451" t="s">
        <v>212</v>
      </c>
      <c r="H11" s="357" t="s">
        <v>217</v>
      </c>
    </row>
    <row r="12" spans="1:8" s="354" customFormat="1" ht="132">
      <c r="A12" s="732"/>
      <c r="B12" s="426" t="s">
        <v>29</v>
      </c>
      <c r="C12" s="350"/>
      <c r="D12" s="631" t="s">
        <v>243</v>
      </c>
      <c r="E12" s="451" t="s">
        <v>238</v>
      </c>
      <c r="F12" s="631" t="s">
        <v>219</v>
      </c>
      <c r="G12" s="451" t="s">
        <v>212</v>
      </c>
      <c r="H12" s="357" t="s">
        <v>217</v>
      </c>
    </row>
    <row r="13" spans="1:8" s="354" customFormat="1" ht="171.6">
      <c r="A13" s="732"/>
      <c r="B13" s="426" t="s">
        <v>31</v>
      </c>
      <c r="C13" s="350"/>
      <c r="D13" s="631" t="s">
        <v>244</v>
      </c>
      <c r="E13" s="451" t="s">
        <v>238</v>
      </c>
      <c r="F13" s="631" t="s">
        <v>220</v>
      </c>
      <c r="G13" s="451" t="s">
        <v>212</v>
      </c>
      <c r="H13" s="357" t="s">
        <v>221</v>
      </c>
    </row>
    <row r="14" spans="1:8" s="354" customFormat="1" ht="26.45">
      <c r="A14" s="732"/>
      <c r="B14" s="426" t="s">
        <v>33</v>
      </c>
      <c r="C14" s="350"/>
      <c r="D14" s="631" t="s">
        <v>245</v>
      </c>
      <c r="E14" s="451" t="s">
        <v>238</v>
      </c>
      <c r="F14" s="631" t="s">
        <v>222</v>
      </c>
      <c r="G14" s="451" t="s">
        <v>212</v>
      </c>
      <c r="H14" s="357" t="s">
        <v>217</v>
      </c>
    </row>
    <row r="15" spans="1:8" s="354" customFormat="1" ht="17.45">
      <c r="A15" s="732"/>
      <c r="B15" s="426" t="s">
        <v>36</v>
      </c>
      <c r="C15" s="350"/>
      <c r="D15" s="632" t="s">
        <v>246</v>
      </c>
      <c r="E15" s="451" t="s">
        <v>238</v>
      </c>
      <c r="F15" s="632"/>
      <c r="G15" s="451" t="s">
        <v>212</v>
      </c>
      <c r="H15" s="356" t="s">
        <v>223</v>
      </c>
    </row>
    <row r="16" spans="1:8" s="354" customFormat="1" ht="17.45">
      <c r="A16" s="732"/>
      <c r="B16" s="426" t="s">
        <v>38</v>
      </c>
      <c r="C16" s="350"/>
      <c r="D16" s="632" t="s">
        <v>246</v>
      </c>
      <c r="E16" s="451" t="s">
        <v>238</v>
      </c>
      <c r="F16" s="632"/>
      <c r="G16" s="451" t="s">
        <v>212</v>
      </c>
      <c r="H16" s="357" t="s">
        <v>224</v>
      </c>
    </row>
    <row r="17" spans="1:8" ht="16.5" hidden="1" customHeight="1">
      <c r="A17" s="733" t="s">
        <v>39</v>
      </c>
      <c r="B17" s="419" t="s">
        <v>209</v>
      </c>
      <c r="C17" s="26"/>
      <c r="D17" s="71"/>
      <c r="E17" s="451" t="s">
        <v>238</v>
      </c>
      <c r="F17" s="71"/>
      <c r="G17" s="451" t="s">
        <v>212</v>
      </c>
      <c r="H17" s="72"/>
    </row>
    <row r="18" spans="1:8" ht="16.5" hidden="1" customHeight="1">
      <c r="A18" s="734"/>
      <c r="B18" s="419" t="s">
        <v>40</v>
      </c>
      <c r="C18" s="26"/>
      <c r="D18" s="51"/>
      <c r="E18" s="451" t="s">
        <v>238</v>
      </c>
      <c r="F18" s="51"/>
      <c r="G18" s="451" t="s">
        <v>212</v>
      </c>
      <c r="H18" s="35"/>
    </row>
    <row r="19" spans="1:8" ht="17.100000000000001" hidden="1" customHeight="1">
      <c r="A19" s="734"/>
      <c r="B19" s="419" t="s">
        <v>41</v>
      </c>
      <c r="C19" s="26"/>
      <c r="D19" s="73"/>
      <c r="E19" s="451" t="s">
        <v>238</v>
      </c>
      <c r="F19" s="73"/>
      <c r="G19" s="451" t="s">
        <v>212</v>
      </c>
      <c r="H19" s="74"/>
    </row>
    <row r="20" spans="1:8" ht="17.100000000000001" hidden="1" customHeight="1">
      <c r="A20" s="734"/>
      <c r="B20" s="419" t="s">
        <v>42</v>
      </c>
      <c r="C20" s="26"/>
      <c r="D20" s="73"/>
      <c r="E20" s="451" t="s">
        <v>238</v>
      </c>
      <c r="F20" s="73"/>
      <c r="G20" s="451" t="s">
        <v>212</v>
      </c>
      <c r="H20" s="74"/>
    </row>
    <row r="21" spans="1:8" ht="17.100000000000001" hidden="1" customHeight="1">
      <c r="A21" s="734"/>
      <c r="B21" s="419" t="s">
        <v>43</v>
      </c>
      <c r="C21" s="26"/>
      <c r="D21" s="73"/>
      <c r="E21" s="451" t="s">
        <v>238</v>
      </c>
      <c r="F21" s="73"/>
      <c r="G21" s="451" t="s">
        <v>212</v>
      </c>
      <c r="H21" s="74"/>
    </row>
    <row r="22" spans="1:8" ht="16.5" hidden="1" customHeight="1">
      <c r="A22" s="734"/>
      <c r="B22" s="419" t="s">
        <v>44</v>
      </c>
      <c r="C22" s="26"/>
      <c r="D22" s="71"/>
      <c r="E22" s="451" t="s">
        <v>238</v>
      </c>
      <c r="F22" s="71"/>
      <c r="G22" s="451" t="s">
        <v>212</v>
      </c>
      <c r="H22" s="72"/>
    </row>
    <row r="23" spans="1:8" ht="16.5" hidden="1" customHeight="1">
      <c r="A23" s="734"/>
      <c r="B23" s="419" t="s">
        <v>45</v>
      </c>
      <c r="C23" s="26"/>
      <c r="D23" s="71"/>
      <c r="E23" s="451" t="s">
        <v>238</v>
      </c>
      <c r="F23" s="71"/>
      <c r="G23" s="451" t="s">
        <v>212</v>
      </c>
      <c r="H23" s="72"/>
    </row>
    <row r="24" spans="1:8" ht="16.5" hidden="1" customHeight="1">
      <c r="A24" s="734"/>
      <c r="B24" s="419" t="s">
        <v>49</v>
      </c>
      <c r="C24" s="26"/>
      <c r="D24" s="71"/>
      <c r="E24" s="451" t="s">
        <v>238</v>
      </c>
      <c r="F24" s="71"/>
      <c r="G24" s="451" t="s">
        <v>212</v>
      </c>
      <c r="H24" s="72"/>
    </row>
    <row r="25" spans="1:8" ht="16.5" hidden="1" customHeight="1">
      <c r="A25" s="734"/>
      <c r="B25" s="419" t="s">
        <v>50</v>
      </c>
      <c r="C25" s="26"/>
      <c r="D25" s="71"/>
      <c r="E25" s="451" t="s">
        <v>238</v>
      </c>
      <c r="F25" s="71"/>
      <c r="G25" s="451" t="s">
        <v>212</v>
      </c>
      <c r="H25" s="72"/>
    </row>
    <row r="26" spans="1:8" ht="99" customHeight="1">
      <c r="A26" s="734"/>
      <c r="B26" s="419" t="s">
        <v>209</v>
      </c>
      <c r="C26" s="26"/>
      <c r="D26" s="71"/>
      <c r="E26" s="451" t="s">
        <v>238</v>
      </c>
      <c r="F26" s="71" t="s">
        <v>247</v>
      </c>
      <c r="G26" s="451" t="s">
        <v>212</v>
      </c>
      <c r="H26" s="72"/>
    </row>
    <row r="27" spans="1:8" ht="87" customHeight="1">
      <c r="A27" s="734"/>
      <c r="B27" s="420" t="s">
        <v>227</v>
      </c>
      <c r="C27" s="26"/>
      <c r="D27" s="454" t="s">
        <v>248</v>
      </c>
      <c r="E27" s="451" t="s">
        <v>238</v>
      </c>
      <c r="F27" s="454" t="s">
        <v>249</v>
      </c>
      <c r="G27" s="451" t="s">
        <v>212</v>
      </c>
      <c r="H27" s="72"/>
    </row>
    <row r="28" spans="1:8" ht="170.25" customHeight="1">
      <c r="A28" s="734"/>
      <c r="B28" s="420" t="s">
        <v>132</v>
      </c>
      <c r="C28" s="26"/>
      <c r="D28" s="454" t="s">
        <v>250</v>
      </c>
      <c r="E28" s="451" t="s">
        <v>238</v>
      </c>
      <c r="F28" s="454" t="s">
        <v>251</v>
      </c>
      <c r="G28" s="451" t="s">
        <v>212</v>
      </c>
      <c r="H28" s="470"/>
    </row>
    <row r="29" spans="1:8" ht="86.25" customHeight="1">
      <c r="A29" s="734"/>
      <c r="B29" s="420" t="s">
        <v>55</v>
      </c>
      <c r="C29" s="26"/>
      <c r="D29" s="71" t="s">
        <v>252</v>
      </c>
      <c r="E29" s="451" t="s">
        <v>238</v>
      </c>
      <c r="F29" s="71" t="s">
        <v>253</v>
      </c>
      <c r="G29" s="451" t="s">
        <v>212</v>
      </c>
      <c r="H29" s="74"/>
    </row>
    <row r="30" spans="1:8" ht="93" customHeight="1">
      <c r="A30" s="734"/>
      <c r="B30" s="420" t="s">
        <v>60</v>
      </c>
      <c r="C30" s="26"/>
      <c r="D30" s="71" t="s">
        <v>252</v>
      </c>
      <c r="E30" s="451" t="s">
        <v>238</v>
      </c>
      <c r="F30" s="71" t="s">
        <v>253</v>
      </c>
      <c r="G30" s="451" t="s">
        <v>212</v>
      </c>
      <c r="H30" s="72"/>
    </row>
    <row r="31" spans="1:8" ht="384.75" customHeight="1">
      <c r="A31" s="734"/>
      <c r="B31" s="420" t="s">
        <v>233</v>
      </c>
      <c r="C31" s="26"/>
      <c r="D31" s="71" t="s">
        <v>254</v>
      </c>
      <c r="E31" s="451" t="s">
        <v>238</v>
      </c>
      <c r="F31" s="71" t="s">
        <v>255</v>
      </c>
      <c r="G31" s="451" t="s">
        <v>212</v>
      </c>
      <c r="H31" s="72"/>
    </row>
    <row r="32" spans="1:8" ht="16.5" customHeight="1">
      <c r="A32" s="735"/>
      <c r="B32" s="419" t="s">
        <v>236</v>
      </c>
      <c r="C32" s="26"/>
      <c r="D32" s="71"/>
      <c r="E32" s="451" t="s">
        <v>238</v>
      </c>
      <c r="F32" s="71"/>
      <c r="G32" s="451" t="s">
        <v>212</v>
      </c>
      <c r="H32" s="72"/>
    </row>
  </sheetData>
  <mergeCells count="8">
    <mergeCell ref="A7:A16"/>
    <mergeCell ref="A17:A32"/>
    <mergeCell ref="D2:E2"/>
    <mergeCell ref="F2:G2"/>
    <mergeCell ref="D3:E3"/>
    <mergeCell ref="F3:G3"/>
    <mergeCell ref="D4:E4"/>
    <mergeCell ref="F4:G4"/>
  </mergeCells>
  <phoneticPr fontId="2" type="noConversion"/>
  <pageMargins left="0.7" right="0.7" top="0.75" bottom="0.75" header="0.3" footer="0.3"/>
  <headerFooter>
    <oddFooter>&amp;L_x000D_&amp;1#&amp;"Calibri"&amp;8&amp;K000000 [AIA - INTERNAL]</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81EB-84DF-4994-8154-2737705BC092}">
  <sheetPr>
    <tabColor theme="9" tint="0.79998168889431442"/>
  </sheetPr>
  <dimension ref="A2:H32"/>
  <sheetViews>
    <sheetView topLeftCell="B29" workbookViewId="0">
      <selection activeCell="B29" sqref="B29"/>
    </sheetView>
  </sheetViews>
  <sheetFormatPr defaultColWidth="9" defaultRowHeight="16.5" customHeight="1"/>
  <cols>
    <col min="1" max="1" width="9.75" bestFit="1" customWidth="1"/>
    <col min="2" max="2" width="21.25" customWidth="1"/>
    <col min="3" max="3" width="25" hidden="1" customWidth="1"/>
    <col min="4" max="4" width="73" customWidth="1"/>
    <col min="5" max="5" width="8.5" customWidth="1"/>
    <col min="6" max="6" width="57.625" customWidth="1"/>
    <col min="7" max="7" width="8.75" customWidth="1"/>
    <col min="8" max="8" width="50.625" customWidth="1"/>
    <col min="9" max="9" width="10.125" customWidth="1"/>
  </cols>
  <sheetData>
    <row r="2" spans="1:8" ht="16.5" customHeight="1">
      <c r="A2" s="199" t="s">
        <v>3</v>
      </c>
      <c r="B2" s="199" t="s">
        <v>196</v>
      </c>
      <c r="C2" s="200"/>
      <c r="D2" s="736" t="s">
        <v>197</v>
      </c>
      <c r="E2" s="737"/>
      <c r="F2" s="738" t="s">
        <v>198</v>
      </c>
      <c r="G2" s="739"/>
    </row>
    <row r="3" spans="1:8" ht="57" customHeight="1">
      <c r="A3" s="86" t="s">
        <v>14</v>
      </c>
      <c r="B3" s="86" t="s">
        <v>199</v>
      </c>
      <c r="C3" s="182"/>
      <c r="D3" s="740" t="s">
        <v>200</v>
      </c>
      <c r="E3" s="741"/>
      <c r="F3" s="742"/>
      <c r="G3" s="743"/>
      <c r="H3" s="184"/>
    </row>
    <row r="4" spans="1:8" ht="128.25" customHeight="1">
      <c r="A4" s="86" t="s">
        <v>39</v>
      </c>
      <c r="B4" s="86" t="s">
        <v>201</v>
      </c>
      <c r="C4" s="182"/>
      <c r="D4" s="740" t="s">
        <v>202</v>
      </c>
      <c r="E4" s="741"/>
      <c r="F4" s="740" t="s">
        <v>203</v>
      </c>
      <c r="G4" s="744"/>
      <c r="H4" s="184"/>
    </row>
    <row r="5" spans="1:8" ht="7.5" customHeight="1"/>
    <row r="6" spans="1:8" ht="36" customHeight="1">
      <c r="A6" s="427" t="s">
        <v>3</v>
      </c>
      <c r="B6" s="22" t="s">
        <v>4</v>
      </c>
      <c r="C6" s="22" t="s">
        <v>5</v>
      </c>
      <c r="D6" s="22" t="s">
        <v>204</v>
      </c>
      <c r="E6" s="22" t="s">
        <v>205</v>
      </c>
      <c r="F6" s="30" t="s">
        <v>206</v>
      </c>
      <c r="G6" s="427" t="s">
        <v>207</v>
      </c>
      <c r="H6" s="47" t="s">
        <v>208</v>
      </c>
    </row>
    <row r="7" spans="1:8" s="354" customFormat="1" ht="290.45">
      <c r="A7" s="732" t="s">
        <v>14</v>
      </c>
      <c r="B7" s="426" t="s">
        <v>209</v>
      </c>
      <c r="C7" s="351" t="s">
        <v>210</v>
      </c>
      <c r="D7" s="452" t="s">
        <v>256</v>
      </c>
      <c r="E7" s="451" t="s">
        <v>257</v>
      </c>
      <c r="F7" s="630" t="s">
        <v>258</v>
      </c>
      <c r="G7" s="451" t="s">
        <v>238</v>
      </c>
      <c r="H7" s="353"/>
    </row>
    <row r="8" spans="1:8" s="354" customFormat="1" ht="184.9">
      <c r="A8" s="732"/>
      <c r="B8" s="426" t="s">
        <v>15</v>
      </c>
      <c r="C8" s="350"/>
      <c r="D8" s="453" t="s">
        <v>259</v>
      </c>
      <c r="E8" s="451" t="s">
        <v>257</v>
      </c>
      <c r="F8" s="631" t="s">
        <v>260</v>
      </c>
      <c r="G8" s="451" t="s">
        <v>238</v>
      </c>
      <c r="H8" s="356" t="s">
        <v>215</v>
      </c>
    </row>
    <row r="9" spans="1:8" s="354" customFormat="1" ht="79.150000000000006">
      <c r="A9" s="732"/>
      <c r="B9" s="426" t="s">
        <v>23</v>
      </c>
      <c r="C9" s="350"/>
      <c r="D9" s="355" t="s">
        <v>261</v>
      </c>
      <c r="E9" s="451" t="s">
        <v>257</v>
      </c>
      <c r="F9" s="631" t="s">
        <v>262</v>
      </c>
      <c r="G9" s="451" t="s">
        <v>238</v>
      </c>
      <c r="H9" s="357" t="s">
        <v>217</v>
      </c>
    </row>
    <row r="10" spans="1:8" s="354" customFormat="1" ht="26.45">
      <c r="A10" s="732"/>
      <c r="B10" s="426" t="s">
        <v>25</v>
      </c>
      <c r="C10" s="350"/>
      <c r="D10" s="355" t="s">
        <v>263</v>
      </c>
      <c r="E10" s="451" t="s">
        <v>257</v>
      </c>
      <c r="F10" s="631"/>
      <c r="G10" s="451" t="s">
        <v>238</v>
      </c>
      <c r="H10" s="356" t="s">
        <v>217</v>
      </c>
    </row>
    <row r="11" spans="1:8" s="354" customFormat="1" ht="92.45">
      <c r="A11" s="732"/>
      <c r="B11" s="426" t="s">
        <v>27</v>
      </c>
      <c r="C11" s="350"/>
      <c r="D11" s="355" t="s">
        <v>264</v>
      </c>
      <c r="E11" s="451" t="s">
        <v>257</v>
      </c>
      <c r="F11" s="631" t="s">
        <v>265</v>
      </c>
      <c r="G11" s="451" t="s">
        <v>238</v>
      </c>
      <c r="H11" s="357" t="s">
        <v>217</v>
      </c>
    </row>
    <row r="12" spans="1:8" s="354" customFormat="1" ht="105.6">
      <c r="A12" s="732"/>
      <c r="B12" s="426" t="s">
        <v>29</v>
      </c>
      <c r="C12" s="350"/>
      <c r="D12" s="355" t="s">
        <v>243</v>
      </c>
      <c r="E12" s="451" t="s">
        <v>257</v>
      </c>
      <c r="F12" s="631" t="s">
        <v>266</v>
      </c>
      <c r="G12" s="451" t="s">
        <v>238</v>
      </c>
      <c r="H12" s="357" t="s">
        <v>217</v>
      </c>
    </row>
    <row r="13" spans="1:8" s="354" customFormat="1" ht="79.150000000000006">
      <c r="A13" s="732"/>
      <c r="B13" s="426" t="s">
        <v>31</v>
      </c>
      <c r="C13" s="350"/>
      <c r="D13" s="355" t="s">
        <v>267</v>
      </c>
      <c r="E13" s="451" t="s">
        <v>257</v>
      </c>
      <c r="F13" s="631" t="s">
        <v>268</v>
      </c>
      <c r="G13" s="451" t="s">
        <v>238</v>
      </c>
      <c r="H13" s="357" t="s">
        <v>221</v>
      </c>
    </row>
    <row r="14" spans="1:8" s="354" customFormat="1" ht="26.45">
      <c r="A14" s="732"/>
      <c r="B14" s="426" t="s">
        <v>33</v>
      </c>
      <c r="C14" s="350"/>
      <c r="D14" s="355" t="s">
        <v>245</v>
      </c>
      <c r="E14" s="451" t="s">
        <v>257</v>
      </c>
      <c r="F14" s="631" t="s">
        <v>222</v>
      </c>
      <c r="G14" s="451" t="s">
        <v>238</v>
      </c>
      <c r="H14" s="357" t="s">
        <v>217</v>
      </c>
    </row>
    <row r="15" spans="1:8" s="354" customFormat="1" ht="17.45">
      <c r="A15" s="732"/>
      <c r="B15" s="426" t="s">
        <v>36</v>
      </c>
      <c r="C15" s="350"/>
      <c r="D15" s="355" t="s">
        <v>246</v>
      </c>
      <c r="E15" s="451" t="s">
        <v>257</v>
      </c>
      <c r="F15" s="632"/>
      <c r="G15" s="451" t="s">
        <v>238</v>
      </c>
      <c r="H15" s="356" t="s">
        <v>223</v>
      </c>
    </row>
    <row r="16" spans="1:8" s="354" customFormat="1" ht="17.45">
      <c r="A16" s="732"/>
      <c r="B16" s="426" t="s">
        <v>38</v>
      </c>
      <c r="C16" s="350"/>
      <c r="D16" s="355" t="s">
        <v>246</v>
      </c>
      <c r="E16" s="451" t="s">
        <v>257</v>
      </c>
      <c r="F16" s="632"/>
      <c r="G16" s="451" t="s">
        <v>238</v>
      </c>
      <c r="H16" s="357" t="s">
        <v>224</v>
      </c>
    </row>
    <row r="17" spans="1:8" ht="16.5" hidden="1" customHeight="1">
      <c r="A17" s="733" t="s">
        <v>39</v>
      </c>
      <c r="B17" s="419" t="s">
        <v>209</v>
      </c>
      <c r="C17" s="26"/>
      <c r="D17" s="71"/>
      <c r="E17" s="451" t="s">
        <v>257</v>
      </c>
      <c r="F17" s="71"/>
      <c r="G17" s="451" t="s">
        <v>238</v>
      </c>
      <c r="H17" s="72"/>
    </row>
    <row r="18" spans="1:8" ht="16.5" hidden="1" customHeight="1">
      <c r="A18" s="734"/>
      <c r="B18" s="419" t="s">
        <v>40</v>
      </c>
      <c r="C18" s="26"/>
      <c r="D18" s="51"/>
      <c r="E18" s="451" t="s">
        <v>257</v>
      </c>
      <c r="F18" s="51"/>
      <c r="G18" s="451" t="s">
        <v>238</v>
      </c>
      <c r="H18" s="35"/>
    </row>
    <row r="19" spans="1:8" ht="17.100000000000001" hidden="1" customHeight="1">
      <c r="A19" s="734"/>
      <c r="B19" s="419" t="s">
        <v>41</v>
      </c>
      <c r="C19" s="26"/>
      <c r="D19" s="73"/>
      <c r="E19" s="451" t="s">
        <v>257</v>
      </c>
      <c r="F19" s="73"/>
      <c r="G19" s="451" t="s">
        <v>238</v>
      </c>
      <c r="H19" s="74"/>
    </row>
    <row r="20" spans="1:8" ht="17.100000000000001" hidden="1" customHeight="1">
      <c r="A20" s="734"/>
      <c r="B20" s="419" t="s">
        <v>42</v>
      </c>
      <c r="C20" s="26"/>
      <c r="D20" s="73"/>
      <c r="E20" s="451" t="s">
        <v>257</v>
      </c>
      <c r="F20" s="73"/>
      <c r="G20" s="451" t="s">
        <v>238</v>
      </c>
      <c r="H20" s="74"/>
    </row>
    <row r="21" spans="1:8" ht="17.100000000000001" hidden="1" customHeight="1">
      <c r="A21" s="734"/>
      <c r="B21" s="419" t="s">
        <v>43</v>
      </c>
      <c r="C21" s="26"/>
      <c r="D21" s="73"/>
      <c r="E21" s="451" t="s">
        <v>257</v>
      </c>
      <c r="F21" s="73"/>
      <c r="G21" s="451" t="s">
        <v>238</v>
      </c>
      <c r="H21" s="74"/>
    </row>
    <row r="22" spans="1:8" ht="16.5" hidden="1" customHeight="1">
      <c r="A22" s="734"/>
      <c r="B22" s="419" t="s">
        <v>44</v>
      </c>
      <c r="C22" s="26"/>
      <c r="D22" s="71"/>
      <c r="E22" s="451" t="s">
        <v>257</v>
      </c>
      <c r="F22" s="71"/>
      <c r="G22" s="451" t="s">
        <v>238</v>
      </c>
      <c r="H22" s="72"/>
    </row>
    <row r="23" spans="1:8" ht="16.5" hidden="1" customHeight="1">
      <c r="A23" s="734"/>
      <c r="B23" s="419" t="s">
        <v>45</v>
      </c>
      <c r="C23" s="26"/>
      <c r="D23" s="71"/>
      <c r="E23" s="451" t="s">
        <v>257</v>
      </c>
      <c r="F23" s="71"/>
      <c r="G23" s="451" t="s">
        <v>238</v>
      </c>
      <c r="H23" s="72"/>
    </row>
    <row r="24" spans="1:8" ht="16.5" hidden="1" customHeight="1">
      <c r="A24" s="734"/>
      <c r="B24" s="419" t="s">
        <v>49</v>
      </c>
      <c r="C24" s="26"/>
      <c r="D24" s="71"/>
      <c r="E24" s="451" t="s">
        <v>257</v>
      </c>
      <c r="F24" s="71"/>
      <c r="G24" s="451" t="s">
        <v>238</v>
      </c>
      <c r="H24" s="72"/>
    </row>
    <row r="25" spans="1:8" ht="16.5" hidden="1" customHeight="1">
      <c r="A25" s="734"/>
      <c r="B25" s="419" t="s">
        <v>50</v>
      </c>
      <c r="C25" s="26"/>
      <c r="D25" s="71"/>
      <c r="E25" s="451" t="s">
        <v>257</v>
      </c>
      <c r="F25" s="71"/>
      <c r="G25" s="451" t="s">
        <v>238</v>
      </c>
      <c r="H25" s="72"/>
    </row>
    <row r="26" spans="1:8" ht="78" customHeight="1">
      <c r="A26" s="734"/>
      <c r="B26" s="419" t="s">
        <v>209</v>
      </c>
      <c r="C26" s="26"/>
      <c r="D26" s="71"/>
      <c r="E26" s="451" t="s">
        <v>257</v>
      </c>
      <c r="F26" s="71"/>
      <c r="G26" s="451" t="s">
        <v>238</v>
      </c>
      <c r="H26" s="72"/>
    </row>
    <row r="27" spans="1:8" ht="87" customHeight="1">
      <c r="A27" s="734"/>
      <c r="B27" s="420" t="s">
        <v>227</v>
      </c>
      <c r="C27" s="26"/>
      <c r="D27" s="454" t="s">
        <v>269</v>
      </c>
      <c r="E27" s="451" t="s">
        <v>257</v>
      </c>
      <c r="F27" s="454" t="s">
        <v>248</v>
      </c>
      <c r="G27" s="451" t="s">
        <v>238</v>
      </c>
      <c r="H27" s="72"/>
    </row>
    <row r="28" spans="1:8" ht="170.25" customHeight="1">
      <c r="A28" s="734"/>
      <c r="B28" s="420" t="s">
        <v>132</v>
      </c>
      <c r="C28" s="26"/>
      <c r="D28" s="454" t="s">
        <v>270</v>
      </c>
      <c r="E28" s="451" t="s">
        <v>257</v>
      </c>
      <c r="F28" s="454" t="s">
        <v>271</v>
      </c>
      <c r="G28" s="451" t="s">
        <v>238</v>
      </c>
      <c r="H28" s="470"/>
    </row>
    <row r="29" spans="1:8" ht="54.75" customHeight="1">
      <c r="A29" s="734"/>
      <c r="B29" s="420" t="s">
        <v>55</v>
      </c>
      <c r="C29" s="26"/>
      <c r="D29" s="71" t="s">
        <v>272</v>
      </c>
      <c r="E29" s="451" t="s">
        <v>257</v>
      </c>
      <c r="F29" s="71" t="s">
        <v>252</v>
      </c>
      <c r="G29" s="451" t="s">
        <v>238</v>
      </c>
      <c r="H29" s="74"/>
    </row>
    <row r="30" spans="1:8" ht="54" customHeight="1">
      <c r="A30" s="734"/>
      <c r="B30" s="420" t="s">
        <v>60</v>
      </c>
      <c r="C30" s="26"/>
      <c r="D30" s="71" t="s">
        <v>272</v>
      </c>
      <c r="E30" s="451" t="s">
        <v>257</v>
      </c>
      <c r="F30" s="71" t="s">
        <v>252</v>
      </c>
      <c r="G30" s="451" t="s">
        <v>238</v>
      </c>
      <c r="H30" s="72"/>
    </row>
    <row r="31" spans="1:8" ht="384.75" customHeight="1">
      <c r="A31" s="734"/>
      <c r="B31" s="420" t="s">
        <v>233</v>
      </c>
      <c r="C31" s="26"/>
      <c r="D31" s="71" t="s">
        <v>273</v>
      </c>
      <c r="E31" s="451" t="s">
        <v>257</v>
      </c>
      <c r="F31" s="71" t="s">
        <v>274</v>
      </c>
      <c r="G31" s="451" t="s">
        <v>238</v>
      </c>
      <c r="H31" s="72"/>
    </row>
    <row r="32" spans="1:8" ht="16.5" customHeight="1">
      <c r="A32" s="735"/>
      <c r="B32" s="419" t="s">
        <v>236</v>
      </c>
      <c r="C32" s="26"/>
      <c r="D32" s="71"/>
      <c r="E32" s="451" t="s">
        <v>257</v>
      </c>
      <c r="F32" s="71"/>
      <c r="G32" s="451" t="s">
        <v>238</v>
      </c>
      <c r="H32" s="72"/>
    </row>
  </sheetData>
  <mergeCells count="8">
    <mergeCell ref="A7:A16"/>
    <mergeCell ref="A17:A32"/>
    <mergeCell ref="D2:E2"/>
    <mergeCell ref="F2:G2"/>
    <mergeCell ref="D3:E3"/>
    <mergeCell ref="F3:G3"/>
    <mergeCell ref="D4:E4"/>
    <mergeCell ref="F4:G4"/>
  </mergeCells>
  <phoneticPr fontId="2" type="noConversion"/>
  <pageMargins left="0.7" right="0.7" top="0.75" bottom="0.75" header="0.3" footer="0.3"/>
  <headerFooter>
    <oddFooter>&amp;L_x000D_&amp;1#&amp;"Calibri"&amp;8&amp;K000000 [AIA - INTERNAL]</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83B2-C1EF-4E4D-BF88-3FB9188B1E9E}">
  <sheetPr>
    <tabColor theme="9" tint="0.79998168889431442"/>
  </sheetPr>
  <dimension ref="A2:H32"/>
  <sheetViews>
    <sheetView workbookViewId="0">
      <selection activeCell="H4" sqref="H4"/>
    </sheetView>
  </sheetViews>
  <sheetFormatPr defaultColWidth="9" defaultRowHeight="16.5" customHeight="1"/>
  <cols>
    <col min="1" max="1" width="9.75" bestFit="1" customWidth="1"/>
    <col min="2" max="2" width="21.25" customWidth="1"/>
    <col min="3" max="3" width="25" hidden="1" customWidth="1"/>
    <col min="4" max="4" width="73" customWidth="1"/>
    <col min="5" max="5" width="8.5" customWidth="1"/>
    <col min="6" max="6" width="57.625" customWidth="1"/>
    <col min="7" max="7" width="8.75" customWidth="1"/>
    <col min="8" max="8" width="50.625" customWidth="1"/>
    <col min="9" max="9" width="10.125" customWidth="1"/>
  </cols>
  <sheetData>
    <row r="2" spans="1:8" ht="16.5" customHeight="1">
      <c r="A2" s="199" t="s">
        <v>3</v>
      </c>
      <c r="B2" s="199" t="s">
        <v>196</v>
      </c>
      <c r="C2" s="200"/>
      <c r="D2" s="736" t="s">
        <v>197</v>
      </c>
      <c r="E2" s="737"/>
      <c r="F2" s="738" t="s">
        <v>198</v>
      </c>
      <c r="G2" s="739"/>
    </row>
    <row r="3" spans="1:8" ht="57" customHeight="1">
      <c r="A3" s="86" t="s">
        <v>14</v>
      </c>
      <c r="B3" s="86" t="s">
        <v>199</v>
      </c>
      <c r="C3" s="182"/>
      <c r="D3" s="740" t="s">
        <v>200</v>
      </c>
      <c r="E3" s="741"/>
      <c r="F3" s="742"/>
      <c r="G3" s="743"/>
      <c r="H3" s="184"/>
    </row>
    <row r="4" spans="1:8" ht="128.25" customHeight="1">
      <c r="A4" s="86" t="s">
        <v>39</v>
      </c>
      <c r="B4" s="86" t="s">
        <v>201</v>
      </c>
      <c r="C4" s="182"/>
      <c r="D4" s="740" t="s">
        <v>202</v>
      </c>
      <c r="E4" s="741"/>
      <c r="F4" s="740" t="s">
        <v>203</v>
      </c>
      <c r="G4" s="744"/>
      <c r="H4" s="184"/>
    </row>
    <row r="5" spans="1:8" ht="7.5" customHeight="1"/>
    <row r="6" spans="1:8" ht="36" customHeight="1">
      <c r="A6" s="427" t="s">
        <v>3</v>
      </c>
      <c r="B6" s="22" t="s">
        <v>4</v>
      </c>
      <c r="C6" s="22" t="s">
        <v>5</v>
      </c>
      <c r="D6" s="22" t="s">
        <v>204</v>
      </c>
      <c r="E6" s="22" t="s">
        <v>205</v>
      </c>
      <c r="F6" s="30" t="s">
        <v>206</v>
      </c>
      <c r="G6" s="427" t="s">
        <v>207</v>
      </c>
      <c r="H6" s="47" t="s">
        <v>208</v>
      </c>
    </row>
    <row r="7" spans="1:8" s="354" customFormat="1" ht="79.150000000000006">
      <c r="A7" s="732" t="s">
        <v>14</v>
      </c>
      <c r="B7" s="426" t="s">
        <v>209</v>
      </c>
      <c r="C7" s="351" t="s">
        <v>210</v>
      </c>
      <c r="D7" s="452" t="s">
        <v>275</v>
      </c>
      <c r="E7" s="451" t="s">
        <v>276</v>
      </c>
      <c r="F7" s="452"/>
      <c r="G7" s="451"/>
      <c r="H7" s="353"/>
    </row>
    <row r="8" spans="1:8" s="354" customFormat="1" ht="88.5" customHeight="1">
      <c r="A8" s="732"/>
      <c r="B8" s="426" t="s">
        <v>15</v>
      </c>
      <c r="C8" s="350"/>
      <c r="D8" s="453" t="s">
        <v>277</v>
      </c>
      <c r="E8" s="451" t="s">
        <v>276</v>
      </c>
      <c r="F8" s="453"/>
      <c r="G8" s="451"/>
      <c r="H8" s="356" t="s">
        <v>215</v>
      </c>
    </row>
    <row r="9" spans="1:8" s="354" customFormat="1" ht="26.45">
      <c r="A9" s="732"/>
      <c r="B9" s="426" t="s">
        <v>23</v>
      </c>
      <c r="C9" s="350"/>
      <c r="D9" s="355" t="s">
        <v>278</v>
      </c>
      <c r="E9" s="451" t="s">
        <v>276</v>
      </c>
      <c r="F9" s="355"/>
      <c r="G9" s="451"/>
      <c r="H9" s="357" t="s">
        <v>217</v>
      </c>
    </row>
    <row r="10" spans="1:8" s="354" customFormat="1" ht="66">
      <c r="A10" s="732"/>
      <c r="B10" s="426" t="s">
        <v>25</v>
      </c>
      <c r="C10" s="350"/>
      <c r="D10" s="355" t="s">
        <v>279</v>
      </c>
      <c r="E10" s="451" t="s">
        <v>276</v>
      </c>
      <c r="F10" s="355"/>
      <c r="G10" s="451"/>
      <c r="H10" s="356" t="s">
        <v>217</v>
      </c>
    </row>
    <row r="11" spans="1:8" s="354" customFormat="1" ht="17.45">
      <c r="A11" s="732"/>
      <c r="B11" s="426" t="s">
        <v>27</v>
      </c>
      <c r="C11" s="350"/>
      <c r="D11" s="355" t="s">
        <v>280</v>
      </c>
      <c r="E11" s="451" t="s">
        <v>276</v>
      </c>
      <c r="F11" s="355"/>
      <c r="G11" s="451"/>
      <c r="H11" s="357" t="s">
        <v>217</v>
      </c>
    </row>
    <row r="12" spans="1:8" s="354" customFormat="1" ht="26.45">
      <c r="A12" s="732"/>
      <c r="B12" s="426" t="s">
        <v>29</v>
      </c>
      <c r="C12" s="350"/>
      <c r="D12" s="355" t="s">
        <v>281</v>
      </c>
      <c r="E12" s="451" t="s">
        <v>276</v>
      </c>
      <c r="F12" s="355"/>
      <c r="G12" s="451"/>
      <c r="H12" s="357" t="s">
        <v>217</v>
      </c>
    </row>
    <row r="13" spans="1:8" s="354" customFormat="1" ht="26.45">
      <c r="A13" s="732"/>
      <c r="B13" s="426" t="s">
        <v>31</v>
      </c>
      <c r="C13" s="350"/>
      <c r="D13" s="355" t="s">
        <v>281</v>
      </c>
      <c r="E13" s="451" t="s">
        <v>276</v>
      </c>
      <c r="F13" s="355"/>
      <c r="G13" s="451"/>
      <c r="H13" s="357" t="s">
        <v>221</v>
      </c>
    </row>
    <row r="14" spans="1:8" s="354" customFormat="1" ht="17.45">
      <c r="A14" s="732"/>
      <c r="B14" s="426" t="s">
        <v>33</v>
      </c>
      <c r="C14" s="350"/>
      <c r="D14" s="355" t="s">
        <v>245</v>
      </c>
      <c r="E14" s="451" t="s">
        <v>276</v>
      </c>
      <c r="F14" s="355"/>
      <c r="G14" s="451"/>
      <c r="H14" s="357" t="s">
        <v>217</v>
      </c>
    </row>
    <row r="15" spans="1:8" s="354" customFormat="1" ht="17.45">
      <c r="A15" s="732"/>
      <c r="B15" s="426" t="s">
        <v>36</v>
      </c>
      <c r="C15" s="350"/>
      <c r="D15" s="355" t="s">
        <v>246</v>
      </c>
      <c r="E15" s="451" t="s">
        <v>276</v>
      </c>
      <c r="F15" s="355"/>
      <c r="G15" s="451"/>
      <c r="H15" s="356" t="s">
        <v>223</v>
      </c>
    </row>
    <row r="16" spans="1:8" s="354" customFormat="1" ht="17.45">
      <c r="A16" s="732"/>
      <c r="B16" s="426" t="s">
        <v>38</v>
      </c>
      <c r="C16" s="350"/>
      <c r="D16" s="355" t="s">
        <v>246</v>
      </c>
      <c r="E16" s="451" t="s">
        <v>276</v>
      </c>
      <c r="F16" s="355"/>
      <c r="G16" s="451"/>
      <c r="H16" s="357" t="s">
        <v>224</v>
      </c>
    </row>
    <row r="17" spans="1:8" ht="16.5" hidden="1" customHeight="1">
      <c r="A17" s="733" t="s">
        <v>39</v>
      </c>
      <c r="B17" s="419" t="s">
        <v>209</v>
      </c>
      <c r="C17" s="26"/>
      <c r="D17" s="71"/>
      <c r="E17" s="451" t="s">
        <v>282</v>
      </c>
      <c r="F17" s="71"/>
      <c r="G17" s="451"/>
      <c r="H17" s="72"/>
    </row>
    <row r="18" spans="1:8" ht="16.5" hidden="1" customHeight="1">
      <c r="A18" s="734"/>
      <c r="B18" s="419" t="s">
        <v>40</v>
      </c>
      <c r="C18" s="26"/>
      <c r="D18" s="51"/>
      <c r="E18" s="451" t="s">
        <v>282</v>
      </c>
      <c r="F18" s="51"/>
      <c r="G18" s="451"/>
      <c r="H18" s="35"/>
    </row>
    <row r="19" spans="1:8" ht="17.100000000000001" hidden="1" customHeight="1">
      <c r="A19" s="734"/>
      <c r="B19" s="419" t="s">
        <v>41</v>
      </c>
      <c r="C19" s="26"/>
      <c r="D19" s="73"/>
      <c r="E19" s="451" t="s">
        <v>282</v>
      </c>
      <c r="F19" s="73"/>
      <c r="G19" s="451"/>
      <c r="H19" s="74"/>
    </row>
    <row r="20" spans="1:8" ht="17.100000000000001" hidden="1" customHeight="1">
      <c r="A20" s="734"/>
      <c r="B20" s="419" t="s">
        <v>42</v>
      </c>
      <c r="C20" s="26"/>
      <c r="D20" s="73"/>
      <c r="E20" s="451" t="s">
        <v>282</v>
      </c>
      <c r="F20" s="73"/>
      <c r="G20" s="451"/>
      <c r="H20" s="74"/>
    </row>
    <row r="21" spans="1:8" ht="17.100000000000001" hidden="1" customHeight="1">
      <c r="A21" s="734"/>
      <c r="B21" s="419" t="s">
        <v>43</v>
      </c>
      <c r="C21" s="26"/>
      <c r="D21" s="73"/>
      <c r="E21" s="451" t="s">
        <v>282</v>
      </c>
      <c r="F21" s="73"/>
      <c r="G21" s="451"/>
      <c r="H21" s="74"/>
    </row>
    <row r="22" spans="1:8" ht="16.5" hidden="1" customHeight="1">
      <c r="A22" s="734"/>
      <c r="B22" s="419" t="s">
        <v>44</v>
      </c>
      <c r="C22" s="26"/>
      <c r="D22" s="71"/>
      <c r="E22" s="451" t="s">
        <v>282</v>
      </c>
      <c r="F22" s="71"/>
      <c r="G22" s="451"/>
      <c r="H22" s="72"/>
    </row>
    <row r="23" spans="1:8" ht="16.5" hidden="1" customHeight="1">
      <c r="A23" s="734"/>
      <c r="B23" s="419" t="s">
        <v>45</v>
      </c>
      <c r="C23" s="26"/>
      <c r="D23" s="71"/>
      <c r="E23" s="451" t="s">
        <v>282</v>
      </c>
      <c r="F23" s="71"/>
      <c r="G23" s="451"/>
      <c r="H23" s="72"/>
    </row>
    <row r="24" spans="1:8" ht="16.5" hidden="1" customHeight="1">
      <c r="A24" s="734"/>
      <c r="B24" s="419" t="s">
        <v>49</v>
      </c>
      <c r="C24" s="26"/>
      <c r="D24" s="71"/>
      <c r="E24" s="451" t="s">
        <v>282</v>
      </c>
      <c r="F24" s="71"/>
      <c r="G24" s="451"/>
      <c r="H24" s="72"/>
    </row>
    <row r="25" spans="1:8" ht="16.5" hidden="1" customHeight="1">
      <c r="A25" s="734"/>
      <c r="B25" s="419" t="s">
        <v>50</v>
      </c>
      <c r="C25" s="26"/>
      <c r="D25" s="71"/>
      <c r="E25" s="451" t="s">
        <v>282</v>
      </c>
      <c r="F25" s="71"/>
      <c r="G25" s="451"/>
      <c r="H25" s="72"/>
    </row>
    <row r="26" spans="1:8" ht="78" customHeight="1">
      <c r="A26" s="734"/>
      <c r="B26" s="419" t="s">
        <v>209</v>
      </c>
      <c r="C26" s="26"/>
      <c r="D26" s="71"/>
      <c r="E26" s="451" t="s">
        <v>276</v>
      </c>
      <c r="F26" s="71"/>
      <c r="G26" s="451" t="s">
        <v>257</v>
      </c>
      <c r="H26" s="72"/>
    </row>
    <row r="27" spans="1:8" ht="87" customHeight="1">
      <c r="A27" s="734"/>
      <c r="B27" s="420" t="s">
        <v>227</v>
      </c>
      <c r="C27" s="26"/>
      <c r="D27" s="454" t="s">
        <v>283</v>
      </c>
      <c r="E27" s="451" t="s">
        <v>276</v>
      </c>
      <c r="F27" s="454" t="s">
        <v>269</v>
      </c>
      <c r="G27" s="451" t="s">
        <v>257</v>
      </c>
      <c r="H27" s="72"/>
    </row>
    <row r="28" spans="1:8" ht="170.25" customHeight="1">
      <c r="A28" s="734"/>
      <c r="B28" s="420" t="s">
        <v>132</v>
      </c>
      <c r="C28" s="26"/>
      <c r="D28" s="454" t="s">
        <v>284</v>
      </c>
      <c r="E28" s="451" t="s">
        <v>276</v>
      </c>
      <c r="F28" s="454" t="s">
        <v>270</v>
      </c>
      <c r="G28" s="451" t="s">
        <v>257</v>
      </c>
      <c r="H28" s="470"/>
    </row>
    <row r="29" spans="1:8" ht="54.75" customHeight="1">
      <c r="A29" s="734"/>
      <c r="B29" s="420" t="s">
        <v>55</v>
      </c>
      <c r="C29" s="26"/>
      <c r="D29" s="71" t="s">
        <v>285</v>
      </c>
      <c r="E29" s="451" t="s">
        <v>276</v>
      </c>
      <c r="F29" s="71" t="s">
        <v>272</v>
      </c>
      <c r="G29" s="451" t="s">
        <v>257</v>
      </c>
      <c r="H29" s="74"/>
    </row>
    <row r="30" spans="1:8" ht="54" customHeight="1">
      <c r="A30" s="734"/>
      <c r="B30" s="420" t="s">
        <v>60</v>
      </c>
      <c r="C30" s="26"/>
      <c r="D30" s="71" t="s">
        <v>285</v>
      </c>
      <c r="E30" s="451" t="s">
        <v>276</v>
      </c>
      <c r="F30" s="71" t="s">
        <v>272</v>
      </c>
      <c r="G30" s="451" t="s">
        <v>257</v>
      </c>
      <c r="H30" s="72" t="s">
        <v>286</v>
      </c>
    </row>
    <row r="31" spans="1:8" ht="384.75" customHeight="1">
      <c r="A31" s="734"/>
      <c r="B31" s="420" t="s">
        <v>233</v>
      </c>
      <c r="C31" s="26"/>
      <c r="D31" s="71" t="s">
        <v>287</v>
      </c>
      <c r="E31" s="451" t="s">
        <v>276</v>
      </c>
      <c r="F31" s="71" t="s">
        <v>288</v>
      </c>
      <c r="G31" s="451" t="s">
        <v>257</v>
      </c>
      <c r="H31" s="72" t="s">
        <v>289</v>
      </c>
    </row>
    <row r="32" spans="1:8" ht="16.5" customHeight="1">
      <c r="A32" s="735"/>
      <c r="B32" s="419" t="s">
        <v>236</v>
      </c>
      <c r="C32" s="26"/>
      <c r="D32" s="71" t="s">
        <v>285</v>
      </c>
      <c r="E32" s="451" t="s">
        <v>276</v>
      </c>
      <c r="F32" s="71"/>
      <c r="G32" s="451" t="s">
        <v>257</v>
      </c>
      <c r="H32" s="72"/>
    </row>
  </sheetData>
  <mergeCells count="8">
    <mergeCell ref="A7:A16"/>
    <mergeCell ref="A17:A32"/>
    <mergeCell ref="D2:E2"/>
    <mergeCell ref="F2:G2"/>
    <mergeCell ref="D3:E3"/>
    <mergeCell ref="F3:G3"/>
    <mergeCell ref="D4:E4"/>
    <mergeCell ref="F4:G4"/>
  </mergeCells>
  <phoneticPr fontId="2" type="noConversion"/>
  <pageMargins left="0.7" right="0.7" top="0.75" bottom="0.75" header="0.3" footer="0.3"/>
  <headerFooter>
    <oddFooter>&amp;L_x000D_&amp;1#&amp;"Calibri"&amp;8&amp;K000000 [AIA - INTERNAL]</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A3A5-1857-4F03-9289-CA097E03DA1F}">
  <sheetPr>
    <tabColor theme="9" tint="0.79998168889431442"/>
  </sheetPr>
  <dimension ref="A2:H32"/>
  <sheetViews>
    <sheetView topLeftCell="B28" workbookViewId="0">
      <selection activeCell="D31" sqref="D31"/>
    </sheetView>
  </sheetViews>
  <sheetFormatPr defaultColWidth="9" defaultRowHeight="16.5" customHeight="1"/>
  <cols>
    <col min="1" max="1" width="9.75" bestFit="1" customWidth="1"/>
    <col min="2" max="2" width="21.25" customWidth="1"/>
    <col min="3" max="3" width="25" hidden="1" customWidth="1"/>
    <col min="4" max="4" width="73" customWidth="1"/>
    <col min="5" max="5" width="8.5" customWidth="1"/>
    <col min="6" max="6" width="57.625" customWidth="1"/>
    <col min="7" max="7" width="8.75" customWidth="1"/>
    <col min="8" max="8" width="50.625" customWidth="1"/>
    <col min="9" max="9" width="10.125" customWidth="1"/>
  </cols>
  <sheetData>
    <row r="2" spans="1:8" ht="16.5" customHeight="1">
      <c r="A2" s="199" t="s">
        <v>3</v>
      </c>
      <c r="B2" s="199" t="s">
        <v>196</v>
      </c>
      <c r="C2" s="200"/>
      <c r="D2" s="736" t="s">
        <v>197</v>
      </c>
      <c r="E2" s="737"/>
      <c r="F2" s="738" t="s">
        <v>198</v>
      </c>
      <c r="G2" s="739"/>
    </row>
    <row r="3" spans="1:8" ht="57" customHeight="1">
      <c r="A3" s="86" t="s">
        <v>14</v>
      </c>
      <c r="B3" s="86" t="s">
        <v>199</v>
      </c>
      <c r="C3" s="182"/>
      <c r="D3" s="740" t="s">
        <v>200</v>
      </c>
      <c r="E3" s="741"/>
      <c r="F3" s="742"/>
      <c r="G3" s="743"/>
      <c r="H3" s="184"/>
    </row>
    <row r="4" spans="1:8" ht="115.5" customHeight="1">
      <c r="A4" s="86" t="s">
        <v>39</v>
      </c>
      <c r="B4" s="86" t="s">
        <v>201</v>
      </c>
      <c r="C4" s="182"/>
      <c r="D4" s="740" t="s">
        <v>202</v>
      </c>
      <c r="E4" s="741"/>
      <c r="F4" s="740" t="s">
        <v>290</v>
      </c>
      <c r="G4" s="744"/>
      <c r="H4" s="184"/>
    </row>
    <row r="5" spans="1:8" ht="7.5" customHeight="1"/>
    <row r="6" spans="1:8" ht="36" customHeight="1">
      <c r="A6" s="427" t="s">
        <v>3</v>
      </c>
      <c r="B6" s="22" t="s">
        <v>4</v>
      </c>
      <c r="C6" s="22" t="s">
        <v>5</v>
      </c>
      <c r="D6" s="22" t="s">
        <v>204</v>
      </c>
      <c r="E6" s="22" t="s">
        <v>205</v>
      </c>
      <c r="F6" s="30" t="s">
        <v>206</v>
      </c>
      <c r="G6" s="427" t="s">
        <v>207</v>
      </c>
      <c r="H6" s="47" t="s">
        <v>208</v>
      </c>
    </row>
    <row r="7" spans="1:8" s="354" customFormat="1" ht="79.150000000000006">
      <c r="A7" s="732" t="s">
        <v>14</v>
      </c>
      <c r="B7" s="426" t="s">
        <v>209</v>
      </c>
      <c r="C7" s="351" t="s">
        <v>210</v>
      </c>
      <c r="D7" s="352" t="s">
        <v>291</v>
      </c>
      <c r="E7" s="451" t="s">
        <v>282</v>
      </c>
      <c r="F7" s="452" t="s">
        <v>275</v>
      </c>
      <c r="G7" s="451" t="s">
        <v>276</v>
      </c>
      <c r="H7" s="353"/>
    </row>
    <row r="8" spans="1:8" s="354" customFormat="1" ht="88.5" customHeight="1">
      <c r="A8" s="732"/>
      <c r="B8" s="426" t="s">
        <v>15</v>
      </c>
      <c r="C8" s="350"/>
      <c r="D8" s="355" t="s">
        <v>292</v>
      </c>
      <c r="E8" s="451" t="s">
        <v>282</v>
      </c>
      <c r="F8" s="453" t="s">
        <v>277</v>
      </c>
      <c r="G8" s="451" t="s">
        <v>276</v>
      </c>
      <c r="H8" s="356" t="s">
        <v>215</v>
      </c>
    </row>
    <row r="9" spans="1:8" s="354" customFormat="1" ht="66">
      <c r="A9" s="732"/>
      <c r="B9" s="426" t="s">
        <v>23</v>
      </c>
      <c r="C9" s="350"/>
      <c r="D9" s="355" t="s">
        <v>293</v>
      </c>
      <c r="E9" s="451" t="s">
        <v>282</v>
      </c>
      <c r="F9" s="355" t="s">
        <v>278</v>
      </c>
      <c r="G9" s="451" t="s">
        <v>276</v>
      </c>
      <c r="H9" s="357" t="s">
        <v>217</v>
      </c>
    </row>
    <row r="10" spans="1:8" s="354" customFormat="1" ht="79.150000000000006">
      <c r="A10" s="732"/>
      <c r="B10" s="426" t="s">
        <v>25</v>
      </c>
      <c r="C10" s="350"/>
      <c r="D10" s="355" t="s">
        <v>294</v>
      </c>
      <c r="E10" s="451" t="s">
        <v>282</v>
      </c>
      <c r="F10" s="355" t="s">
        <v>279</v>
      </c>
      <c r="G10" s="451" t="s">
        <v>276</v>
      </c>
      <c r="H10" s="356" t="s">
        <v>217</v>
      </c>
    </row>
    <row r="11" spans="1:8" s="354" customFormat="1" ht="52.9">
      <c r="A11" s="732"/>
      <c r="B11" s="426" t="s">
        <v>27</v>
      </c>
      <c r="C11" s="350"/>
      <c r="D11" s="355" t="s">
        <v>295</v>
      </c>
      <c r="E11" s="451" t="s">
        <v>282</v>
      </c>
      <c r="F11" s="355" t="s">
        <v>280</v>
      </c>
      <c r="G11" s="451" t="s">
        <v>276</v>
      </c>
      <c r="H11" s="357" t="s">
        <v>217</v>
      </c>
    </row>
    <row r="12" spans="1:8" s="354" customFormat="1" ht="26.45">
      <c r="A12" s="732"/>
      <c r="B12" s="426" t="s">
        <v>29</v>
      </c>
      <c r="C12" s="350"/>
      <c r="D12" s="355" t="s">
        <v>281</v>
      </c>
      <c r="E12" s="451" t="s">
        <v>282</v>
      </c>
      <c r="F12" s="355" t="s">
        <v>281</v>
      </c>
      <c r="G12" s="451" t="s">
        <v>276</v>
      </c>
      <c r="H12" s="357" t="s">
        <v>217</v>
      </c>
    </row>
    <row r="13" spans="1:8" s="354" customFormat="1" ht="26.45">
      <c r="A13" s="732"/>
      <c r="B13" s="426" t="s">
        <v>31</v>
      </c>
      <c r="C13" s="350"/>
      <c r="D13" s="355" t="s">
        <v>281</v>
      </c>
      <c r="E13" s="451" t="s">
        <v>282</v>
      </c>
      <c r="F13" s="355" t="s">
        <v>281</v>
      </c>
      <c r="G13" s="451" t="s">
        <v>276</v>
      </c>
      <c r="H13" s="357" t="s">
        <v>221</v>
      </c>
    </row>
    <row r="14" spans="1:8" s="354" customFormat="1" ht="17.45">
      <c r="A14" s="732"/>
      <c r="B14" s="426" t="s">
        <v>33</v>
      </c>
      <c r="C14" s="350"/>
      <c r="D14" s="355" t="s">
        <v>246</v>
      </c>
      <c r="E14" s="451" t="s">
        <v>282</v>
      </c>
      <c r="F14" s="355" t="s">
        <v>245</v>
      </c>
      <c r="G14" s="451" t="s">
        <v>276</v>
      </c>
      <c r="H14" s="357" t="s">
        <v>217</v>
      </c>
    </row>
    <row r="15" spans="1:8" s="354" customFormat="1" ht="17.45">
      <c r="A15" s="732"/>
      <c r="B15" s="426" t="s">
        <v>36</v>
      </c>
      <c r="C15" s="350"/>
      <c r="D15" s="355" t="s">
        <v>246</v>
      </c>
      <c r="E15" s="451" t="s">
        <v>282</v>
      </c>
      <c r="F15" s="355" t="s">
        <v>246</v>
      </c>
      <c r="G15" s="451" t="s">
        <v>276</v>
      </c>
      <c r="H15" s="356" t="s">
        <v>223</v>
      </c>
    </row>
    <row r="16" spans="1:8" s="354" customFormat="1" ht="17.45">
      <c r="A16" s="732"/>
      <c r="B16" s="426" t="s">
        <v>38</v>
      </c>
      <c r="C16" s="350"/>
      <c r="D16" s="355" t="s">
        <v>246</v>
      </c>
      <c r="E16" s="451" t="s">
        <v>282</v>
      </c>
      <c r="F16" s="355" t="s">
        <v>246</v>
      </c>
      <c r="G16" s="451" t="s">
        <v>276</v>
      </c>
      <c r="H16" s="357" t="s">
        <v>224</v>
      </c>
    </row>
    <row r="17" spans="1:8" ht="16.5" hidden="1" customHeight="1">
      <c r="A17" s="733" t="s">
        <v>39</v>
      </c>
      <c r="B17" s="419" t="s">
        <v>209</v>
      </c>
      <c r="C17" s="26"/>
      <c r="D17" s="71"/>
      <c r="E17" s="422"/>
      <c r="F17" s="71"/>
      <c r="G17" s="451" t="s">
        <v>282</v>
      </c>
      <c r="H17" s="72"/>
    </row>
    <row r="18" spans="1:8" ht="16.5" hidden="1" customHeight="1">
      <c r="A18" s="734"/>
      <c r="B18" s="419" t="s">
        <v>40</v>
      </c>
      <c r="C18" s="26"/>
      <c r="D18" s="51"/>
      <c r="E18" s="423"/>
      <c r="F18" s="51"/>
      <c r="G18" s="451" t="s">
        <v>282</v>
      </c>
      <c r="H18" s="35"/>
    </row>
    <row r="19" spans="1:8" ht="17.100000000000001" hidden="1" customHeight="1">
      <c r="A19" s="734"/>
      <c r="B19" s="419" t="s">
        <v>41</v>
      </c>
      <c r="C19" s="26"/>
      <c r="D19" s="73"/>
      <c r="E19" s="424"/>
      <c r="F19" s="73"/>
      <c r="G19" s="451" t="s">
        <v>282</v>
      </c>
      <c r="H19" s="74"/>
    </row>
    <row r="20" spans="1:8" ht="17.100000000000001" hidden="1" customHeight="1">
      <c r="A20" s="734"/>
      <c r="B20" s="419" t="s">
        <v>42</v>
      </c>
      <c r="C20" s="26"/>
      <c r="D20" s="73"/>
      <c r="E20" s="424"/>
      <c r="F20" s="73"/>
      <c r="G20" s="451" t="s">
        <v>282</v>
      </c>
      <c r="H20" s="74"/>
    </row>
    <row r="21" spans="1:8" ht="17.100000000000001" hidden="1" customHeight="1">
      <c r="A21" s="734"/>
      <c r="B21" s="419" t="s">
        <v>43</v>
      </c>
      <c r="C21" s="26"/>
      <c r="D21" s="73"/>
      <c r="E21" s="424"/>
      <c r="F21" s="73"/>
      <c r="G21" s="451" t="s">
        <v>282</v>
      </c>
      <c r="H21" s="74"/>
    </row>
    <row r="22" spans="1:8" ht="16.5" hidden="1" customHeight="1">
      <c r="A22" s="734"/>
      <c r="B22" s="419" t="s">
        <v>44</v>
      </c>
      <c r="C22" s="26"/>
      <c r="D22" s="71"/>
      <c r="E22" s="422"/>
      <c r="F22" s="71"/>
      <c r="G22" s="451" t="s">
        <v>282</v>
      </c>
      <c r="H22" s="72"/>
    </row>
    <row r="23" spans="1:8" ht="16.5" hidden="1" customHeight="1">
      <c r="A23" s="734"/>
      <c r="B23" s="419" t="s">
        <v>45</v>
      </c>
      <c r="C23" s="26"/>
      <c r="D23" s="71"/>
      <c r="E23" s="422"/>
      <c r="F23" s="71"/>
      <c r="G23" s="451" t="s">
        <v>282</v>
      </c>
      <c r="H23" s="72"/>
    </row>
    <row r="24" spans="1:8" ht="16.5" hidden="1" customHeight="1">
      <c r="A24" s="734"/>
      <c r="B24" s="419" t="s">
        <v>49</v>
      </c>
      <c r="C24" s="26"/>
      <c r="D24" s="71"/>
      <c r="E24" s="422"/>
      <c r="F24" s="71"/>
      <c r="G24" s="451" t="s">
        <v>282</v>
      </c>
      <c r="H24" s="72"/>
    </row>
    <row r="25" spans="1:8" ht="16.5" hidden="1" customHeight="1">
      <c r="A25" s="734"/>
      <c r="B25" s="419" t="s">
        <v>50</v>
      </c>
      <c r="C25" s="26"/>
      <c r="D25" s="71"/>
      <c r="E25" s="422"/>
      <c r="F25" s="71"/>
      <c r="G25" s="451" t="s">
        <v>282</v>
      </c>
      <c r="H25" s="72"/>
    </row>
    <row r="26" spans="1:8" ht="78" customHeight="1">
      <c r="A26" s="734"/>
      <c r="B26" s="419" t="s">
        <v>209</v>
      </c>
      <c r="C26" s="26"/>
      <c r="D26" s="71"/>
      <c r="E26" s="451" t="s">
        <v>282</v>
      </c>
      <c r="F26" s="71"/>
      <c r="G26" s="451" t="s">
        <v>276</v>
      </c>
      <c r="H26" s="72"/>
    </row>
    <row r="27" spans="1:8" ht="87" customHeight="1">
      <c r="A27" s="734"/>
      <c r="B27" s="420" t="s">
        <v>227</v>
      </c>
      <c r="C27" s="26"/>
      <c r="D27" s="454" t="s">
        <v>296</v>
      </c>
      <c r="E27" s="451" t="s">
        <v>282</v>
      </c>
      <c r="F27" s="454" t="s">
        <v>283</v>
      </c>
      <c r="G27" s="451" t="s">
        <v>276</v>
      </c>
      <c r="H27" s="72"/>
    </row>
    <row r="28" spans="1:8" ht="170.25" customHeight="1">
      <c r="A28" s="734"/>
      <c r="B28" s="420" t="s">
        <v>132</v>
      </c>
      <c r="C28" s="26"/>
      <c r="D28" s="71" t="s">
        <v>297</v>
      </c>
      <c r="E28" s="451" t="s">
        <v>282</v>
      </c>
      <c r="F28" s="454" t="s">
        <v>284</v>
      </c>
      <c r="G28" s="451" t="s">
        <v>276</v>
      </c>
    </row>
    <row r="29" spans="1:8" ht="54.75" customHeight="1">
      <c r="A29" s="734"/>
      <c r="B29" s="420" t="s">
        <v>55</v>
      </c>
      <c r="C29" s="26"/>
      <c r="D29" s="71" t="s">
        <v>298</v>
      </c>
      <c r="E29" s="451" t="s">
        <v>282</v>
      </c>
      <c r="F29" s="71" t="s">
        <v>285</v>
      </c>
      <c r="G29" s="451" t="s">
        <v>276</v>
      </c>
      <c r="H29" s="74"/>
    </row>
    <row r="30" spans="1:8" ht="54" customHeight="1">
      <c r="A30" s="734"/>
      <c r="B30" s="420" t="s">
        <v>60</v>
      </c>
      <c r="C30" s="26"/>
      <c r="D30" s="71" t="s">
        <v>299</v>
      </c>
      <c r="E30" s="451" t="s">
        <v>282</v>
      </c>
      <c r="F30" s="71" t="s">
        <v>285</v>
      </c>
      <c r="G30" s="451" t="s">
        <v>276</v>
      </c>
      <c r="H30" s="72" t="s">
        <v>286</v>
      </c>
    </row>
    <row r="31" spans="1:8" ht="243.75" customHeight="1">
      <c r="A31" s="734"/>
      <c r="B31" s="420" t="s">
        <v>233</v>
      </c>
      <c r="C31" s="26"/>
      <c r="D31" s="71" t="s">
        <v>300</v>
      </c>
      <c r="E31" s="451" t="s">
        <v>282</v>
      </c>
      <c r="F31" s="71" t="s">
        <v>301</v>
      </c>
      <c r="G31" s="451" t="s">
        <v>276</v>
      </c>
      <c r="H31" s="72" t="s">
        <v>302</v>
      </c>
    </row>
    <row r="32" spans="1:8" ht="16.5" customHeight="1">
      <c r="A32" s="735"/>
      <c r="B32" s="419" t="s">
        <v>236</v>
      </c>
      <c r="C32" s="26"/>
      <c r="D32" s="71" t="s">
        <v>299</v>
      </c>
      <c r="E32" s="451" t="s">
        <v>282</v>
      </c>
      <c r="F32" s="71" t="s">
        <v>285</v>
      </c>
      <c r="G32" s="451" t="s">
        <v>276</v>
      </c>
      <c r="H32" s="72"/>
    </row>
  </sheetData>
  <mergeCells count="8">
    <mergeCell ref="A7:A16"/>
    <mergeCell ref="A17:A32"/>
    <mergeCell ref="D2:E2"/>
    <mergeCell ref="F2:G2"/>
    <mergeCell ref="D3:E3"/>
    <mergeCell ref="F3:G3"/>
    <mergeCell ref="D4:E4"/>
    <mergeCell ref="F4:G4"/>
  </mergeCells>
  <phoneticPr fontId="2" type="noConversion"/>
  <pageMargins left="0.7" right="0.7" top="0.75" bottom="0.75" header="0.3" footer="0.3"/>
  <headerFooter>
    <oddFooter>&amp;L_x000D_&amp;1#&amp;"Calibri"&amp;8&amp;K000000 [AIA - INTERNAL]</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EAF34-209B-44DA-8717-0711F036A8E1}">
  <sheetPr>
    <tabColor theme="9" tint="0.79998168889431442"/>
  </sheetPr>
  <dimension ref="A2:H32"/>
  <sheetViews>
    <sheetView topLeftCell="A7" workbookViewId="0">
      <selection activeCell="A7" sqref="A7"/>
    </sheetView>
  </sheetViews>
  <sheetFormatPr defaultColWidth="9" defaultRowHeight="16.5" customHeight="1"/>
  <cols>
    <col min="1" max="1" width="9.75" bestFit="1" customWidth="1"/>
    <col min="2" max="2" width="21.25" customWidth="1"/>
    <col min="3" max="3" width="25" hidden="1" customWidth="1"/>
    <col min="4" max="4" width="73" customWidth="1"/>
    <col min="5" max="5" width="8.5" customWidth="1"/>
    <col min="6" max="6" width="57.625" customWidth="1"/>
    <col min="7" max="7" width="8.75" customWidth="1"/>
    <col min="8" max="8" width="50.625" customWidth="1"/>
    <col min="9" max="9" width="10.125" customWidth="1"/>
  </cols>
  <sheetData>
    <row r="2" spans="1:8" ht="16.5" customHeight="1">
      <c r="A2" s="199" t="s">
        <v>3</v>
      </c>
      <c r="B2" s="199" t="s">
        <v>196</v>
      </c>
      <c r="C2" s="200"/>
      <c r="D2" s="736" t="s">
        <v>197</v>
      </c>
      <c r="E2" s="737"/>
      <c r="F2" s="738" t="s">
        <v>198</v>
      </c>
      <c r="G2" s="739"/>
    </row>
    <row r="3" spans="1:8" ht="57" customHeight="1">
      <c r="A3" s="86" t="s">
        <v>14</v>
      </c>
      <c r="B3" s="86" t="s">
        <v>199</v>
      </c>
      <c r="C3" s="182"/>
      <c r="D3" s="740" t="s">
        <v>200</v>
      </c>
      <c r="E3" s="741"/>
      <c r="F3" s="742"/>
      <c r="G3" s="743"/>
      <c r="H3" s="184"/>
    </row>
    <row r="4" spans="1:8" ht="115.5" customHeight="1">
      <c r="A4" s="86" t="s">
        <v>39</v>
      </c>
      <c r="B4" s="86" t="s">
        <v>201</v>
      </c>
      <c r="C4" s="182"/>
      <c r="D4" s="740" t="s">
        <v>202</v>
      </c>
      <c r="E4" s="741"/>
      <c r="F4" s="740" t="s">
        <v>290</v>
      </c>
      <c r="G4" s="744"/>
      <c r="H4" s="184"/>
    </row>
    <row r="5" spans="1:8" ht="7.5" customHeight="1"/>
    <row r="6" spans="1:8" ht="36" customHeight="1">
      <c r="A6" s="427" t="s">
        <v>3</v>
      </c>
      <c r="B6" s="22" t="s">
        <v>4</v>
      </c>
      <c r="C6" s="22" t="s">
        <v>5</v>
      </c>
      <c r="D6" s="22" t="s">
        <v>204</v>
      </c>
      <c r="E6" s="22" t="s">
        <v>205</v>
      </c>
      <c r="F6" s="30" t="s">
        <v>206</v>
      </c>
      <c r="G6" s="427" t="s">
        <v>207</v>
      </c>
      <c r="H6" s="47" t="s">
        <v>208</v>
      </c>
    </row>
    <row r="7" spans="1:8" s="354" customFormat="1" ht="158.44999999999999">
      <c r="A7" s="732" t="s">
        <v>14</v>
      </c>
      <c r="B7" s="426" t="s">
        <v>209</v>
      </c>
      <c r="C7" s="351" t="s">
        <v>210</v>
      </c>
      <c r="D7" s="352" t="s">
        <v>303</v>
      </c>
      <c r="E7" s="425" t="s">
        <v>304</v>
      </c>
      <c r="F7" s="452" t="s">
        <v>305</v>
      </c>
      <c r="G7" s="451" t="s">
        <v>282</v>
      </c>
      <c r="H7" s="353"/>
    </row>
    <row r="8" spans="1:8" s="354" customFormat="1" ht="88.5" customHeight="1">
      <c r="A8" s="732"/>
      <c r="B8" s="426" t="s">
        <v>15</v>
      </c>
      <c r="C8" s="350"/>
      <c r="D8" s="355" t="s">
        <v>306</v>
      </c>
      <c r="E8" s="425" t="s">
        <v>304</v>
      </c>
      <c r="F8" s="453" t="s">
        <v>307</v>
      </c>
      <c r="G8" s="451" t="s">
        <v>282</v>
      </c>
      <c r="H8" s="356" t="s">
        <v>215</v>
      </c>
    </row>
    <row r="9" spans="1:8" s="354" customFormat="1" ht="39.6">
      <c r="A9" s="732"/>
      <c r="B9" s="426" t="s">
        <v>23</v>
      </c>
      <c r="C9" s="350"/>
      <c r="D9" s="355" t="s">
        <v>308</v>
      </c>
      <c r="E9" s="425" t="s">
        <v>304</v>
      </c>
      <c r="F9" s="355" t="s">
        <v>309</v>
      </c>
      <c r="G9" s="451" t="s">
        <v>282</v>
      </c>
      <c r="H9" s="357" t="s">
        <v>217</v>
      </c>
    </row>
    <row r="10" spans="1:8" s="354" customFormat="1" ht="66">
      <c r="A10" s="732"/>
      <c r="B10" s="426" t="s">
        <v>25</v>
      </c>
      <c r="C10" s="350"/>
      <c r="D10" s="355" t="s">
        <v>310</v>
      </c>
      <c r="E10" s="425" t="s">
        <v>304</v>
      </c>
      <c r="F10" s="355" t="s">
        <v>311</v>
      </c>
      <c r="G10" s="451" t="s">
        <v>282</v>
      </c>
      <c r="H10" s="356" t="s">
        <v>217</v>
      </c>
    </row>
    <row r="11" spans="1:8" s="354" customFormat="1" ht="39.6">
      <c r="A11" s="732"/>
      <c r="B11" s="426" t="s">
        <v>27</v>
      </c>
      <c r="C11" s="350"/>
      <c r="D11" s="355" t="s">
        <v>312</v>
      </c>
      <c r="E11" s="425" t="s">
        <v>304</v>
      </c>
      <c r="F11" s="355" t="s">
        <v>313</v>
      </c>
      <c r="G11" s="451" t="s">
        <v>282</v>
      </c>
      <c r="H11" s="357" t="s">
        <v>217</v>
      </c>
    </row>
    <row r="12" spans="1:8" s="354" customFormat="1" ht="26.45">
      <c r="A12" s="732"/>
      <c r="B12" s="426" t="s">
        <v>29</v>
      </c>
      <c r="C12" s="350"/>
      <c r="D12" s="355" t="s">
        <v>314</v>
      </c>
      <c r="E12" s="425" t="s">
        <v>304</v>
      </c>
      <c r="F12" s="355" t="s">
        <v>281</v>
      </c>
      <c r="G12" s="451" t="s">
        <v>282</v>
      </c>
      <c r="H12" s="357" t="s">
        <v>217</v>
      </c>
    </row>
    <row r="13" spans="1:8" s="354" customFormat="1" ht="26.45">
      <c r="A13" s="732"/>
      <c r="B13" s="426" t="s">
        <v>31</v>
      </c>
      <c r="C13" s="350"/>
      <c r="D13" s="355" t="s">
        <v>281</v>
      </c>
      <c r="E13" s="425"/>
      <c r="F13" s="355" t="s">
        <v>281</v>
      </c>
      <c r="G13" s="451" t="s">
        <v>282</v>
      </c>
      <c r="H13" s="357" t="s">
        <v>221</v>
      </c>
    </row>
    <row r="14" spans="1:8" s="354" customFormat="1" ht="26.45">
      <c r="A14" s="732"/>
      <c r="B14" s="426" t="s">
        <v>33</v>
      </c>
      <c r="C14" s="350"/>
      <c r="D14" s="355" t="s">
        <v>246</v>
      </c>
      <c r="E14" s="421"/>
      <c r="F14" s="355" t="s">
        <v>315</v>
      </c>
      <c r="G14" s="451" t="s">
        <v>282</v>
      </c>
      <c r="H14" s="357" t="s">
        <v>217</v>
      </c>
    </row>
    <row r="15" spans="1:8" s="354" customFormat="1" ht="17.45">
      <c r="A15" s="732"/>
      <c r="B15" s="426" t="s">
        <v>36</v>
      </c>
      <c r="C15" s="350"/>
      <c r="D15" s="355" t="s">
        <v>246</v>
      </c>
      <c r="E15" s="421"/>
      <c r="F15" s="355" t="s">
        <v>246</v>
      </c>
      <c r="G15" s="451" t="s">
        <v>282</v>
      </c>
      <c r="H15" s="356" t="s">
        <v>223</v>
      </c>
    </row>
    <row r="16" spans="1:8" s="354" customFormat="1" ht="17.45">
      <c r="A16" s="732"/>
      <c r="B16" s="426" t="s">
        <v>38</v>
      </c>
      <c r="C16" s="350"/>
      <c r="D16" s="355" t="s">
        <v>246</v>
      </c>
      <c r="E16" s="421"/>
      <c r="F16" s="355" t="s">
        <v>246</v>
      </c>
      <c r="G16" s="451" t="s">
        <v>282</v>
      </c>
      <c r="H16" s="357" t="s">
        <v>224</v>
      </c>
    </row>
    <row r="17" spans="1:8" ht="16.5" hidden="1" customHeight="1">
      <c r="A17" s="733" t="s">
        <v>39</v>
      </c>
      <c r="B17" s="419" t="s">
        <v>209</v>
      </c>
      <c r="C17" s="26"/>
      <c r="D17" s="71"/>
      <c r="E17" s="422"/>
      <c r="F17" s="71"/>
      <c r="G17" s="451" t="s">
        <v>282</v>
      </c>
      <c r="H17" s="72"/>
    </row>
    <row r="18" spans="1:8" ht="16.5" hidden="1" customHeight="1">
      <c r="A18" s="734"/>
      <c r="B18" s="419" t="s">
        <v>40</v>
      </c>
      <c r="C18" s="26"/>
      <c r="D18" s="51"/>
      <c r="E18" s="423"/>
      <c r="F18" s="51"/>
      <c r="G18" s="451" t="s">
        <v>282</v>
      </c>
      <c r="H18" s="35"/>
    </row>
    <row r="19" spans="1:8" ht="17.100000000000001" hidden="1" customHeight="1">
      <c r="A19" s="734"/>
      <c r="B19" s="419" t="s">
        <v>41</v>
      </c>
      <c r="C19" s="26"/>
      <c r="D19" s="73"/>
      <c r="E19" s="424"/>
      <c r="F19" s="73"/>
      <c r="G19" s="451" t="s">
        <v>282</v>
      </c>
      <c r="H19" s="74"/>
    </row>
    <row r="20" spans="1:8" ht="17.100000000000001" hidden="1" customHeight="1">
      <c r="A20" s="734"/>
      <c r="B20" s="419" t="s">
        <v>42</v>
      </c>
      <c r="C20" s="26"/>
      <c r="D20" s="73"/>
      <c r="E20" s="424"/>
      <c r="F20" s="73"/>
      <c r="G20" s="451" t="s">
        <v>282</v>
      </c>
      <c r="H20" s="74"/>
    </row>
    <row r="21" spans="1:8" ht="17.100000000000001" hidden="1" customHeight="1">
      <c r="A21" s="734"/>
      <c r="B21" s="419" t="s">
        <v>43</v>
      </c>
      <c r="C21" s="26"/>
      <c r="D21" s="73"/>
      <c r="E21" s="424"/>
      <c r="F21" s="73"/>
      <c r="G21" s="451" t="s">
        <v>282</v>
      </c>
      <c r="H21" s="74"/>
    </row>
    <row r="22" spans="1:8" ht="16.5" hidden="1" customHeight="1">
      <c r="A22" s="734"/>
      <c r="B22" s="419" t="s">
        <v>44</v>
      </c>
      <c r="C22" s="26"/>
      <c r="D22" s="71"/>
      <c r="E22" s="422"/>
      <c r="F22" s="71"/>
      <c r="G22" s="451" t="s">
        <v>282</v>
      </c>
      <c r="H22" s="72"/>
    </row>
    <row r="23" spans="1:8" ht="16.5" hidden="1" customHeight="1">
      <c r="A23" s="734"/>
      <c r="B23" s="419" t="s">
        <v>45</v>
      </c>
      <c r="C23" s="26"/>
      <c r="D23" s="71"/>
      <c r="E23" s="422"/>
      <c r="F23" s="71"/>
      <c r="G23" s="451" t="s">
        <v>282</v>
      </c>
      <c r="H23" s="72"/>
    </row>
    <row r="24" spans="1:8" ht="16.5" hidden="1" customHeight="1">
      <c r="A24" s="734"/>
      <c r="B24" s="419" t="s">
        <v>49</v>
      </c>
      <c r="C24" s="26"/>
      <c r="D24" s="71"/>
      <c r="E24" s="422"/>
      <c r="F24" s="71"/>
      <c r="G24" s="451" t="s">
        <v>282</v>
      </c>
      <c r="H24" s="72"/>
    </row>
    <row r="25" spans="1:8" ht="16.5" hidden="1" customHeight="1">
      <c r="A25" s="734"/>
      <c r="B25" s="419" t="s">
        <v>50</v>
      </c>
      <c r="C25" s="26"/>
      <c r="D25" s="71"/>
      <c r="E25" s="422"/>
      <c r="F25" s="71"/>
      <c r="G25" s="451" t="s">
        <v>282</v>
      </c>
      <c r="H25" s="72"/>
    </row>
    <row r="26" spans="1:8" ht="78" customHeight="1">
      <c r="A26" s="734"/>
      <c r="B26" s="419" t="s">
        <v>209</v>
      </c>
      <c r="C26" s="26"/>
      <c r="D26" s="71" t="s">
        <v>316</v>
      </c>
      <c r="E26" s="425" t="s">
        <v>304</v>
      </c>
      <c r="F26" s="71"/>
      <c r="G26" s="451" t="s">
        <v>282</v>
      </c>
      <c r="H26" s="72"/>
    </row>
    <row r="27" spans="1:8" ht="55.5" customHeight="1">
      <c r="A27" s="734"/>
      <c r="B27" s="420" t="s">
        <v>227</v>
      </c>
      <c r="C27" s="26"/>
      <c r="D27" s="71" t="s">
        <v>317</v>
      </c>
      <c r="E27" s="425">
        <v>46065</v>
      </c>
      <c r="F27" s="454" t="s">
        <v>296</v>
      </c>
      <c r="G27" s="451" t="s">
        <v>282</v>
      </c>
      <c r="H27" s="72"/>
    </row>
    <row r="28" spans="1:8" ht="170.25" customHeight="1">
      <c r="A28" s="734"/>
      <c r="B28" s="420" t="s">
        <v>132</v>
      </c>
      <c r="C28" s="26"/>
      <c r="D28" s="71" t="s">
        <v>318</v>
      </c>
      <c r="E28" s="425">
        <v>46065</v>
      </c>
      <c r="F28" s="71" t="s">
        <v>319</v>
      </c>
      <c r="G28" s="451" t="s">
        <v>282</v>
      </c>
    </row>
    <row r="29" spans="1:8" ht="54.75" customHeight="1">
      <c r="A29" s="734"/>
      <c r="B29" s="420" t="s">
        <v>55</v>
      </c>
      <c r="C29" s="26"/>
      <c r="D29" s="71" t="s">
        <v>320</v>
      </c>
      <c r="E29" s="425">
        <v>46065</v>
      </c>
      <c r="F29" s="71" t="s">
        <v>298</v>
      </c>
      <c r="G29" s="451" t="s">
        <v>282</v>
      </c>
      <c r="H29" s="74"/>
    </row>
    <row r="30" spans="1:8" ht="54" customHeight="1">
      <c r="A30" s="734"/>
      <c r="B30" s="420" t="s">
        <v>60</v>
      </c>
      <c r="C30" s="26"/>
      <c r="D30" s="71" t="s">
        <v>320</v>
      </c>
      <c r="E30" s="425">
        <v>46065</v>
      </c>
      <c r="F30" s="71" t="s">
        <v>299</v>
      </c>
      <c r="G30" s="451" t="s">
        <v>282</v>
      </c>
      <c r="H30" s="72" t="s">
        <v>286</v>
      </c>
    </row>
    <row r="31" spans="1:8" ht="210" customHeight="1">
      <c r="A31" s="734"/>
      <c r="B31" s="420" t="s">
        <v>233</v>
      </c>
      <c r="C31" s="26"/>
      <c r="D31" s="71" t="s">
        <v>321</v>
      </c>
      <c r="E31" s="425">
        <v>46065</v>
      </c>
      <c r="F31" s="71" t="s">
        <v>322</v>
      </c>
      <c r="G31" s="451" t="s">
        <v>282</v>
      </c>
      <c r="H31" s="72" t="s">
        <v>323</v>
      </c>
    </row>
    <row r="32" spans="1:8" ht="16.5" customHeight="1">
      <c r="A32" s="735"/>
      <c r="B32" s="419" t="s">
        <v>236</v>
      </c>
      <c r="C32" s="26"/>
      <c r="D32" s="71" t="s">
        <v>320</v>
      </c>
      <c r="E32" s="425">
        <v>46065</v>
      </c>
      <c r="F32" s="71" t="s">
        <v>299</v>
      </c>
      <c r="G32" s="451" t="s">
        <v>282</v>
      </c>
      <c r="H32" s="72"/>
    </row>
  </sheetData>
  <mergeCells count="8">
    <mergeCell ref="A17:A32"/>
    <mergeCell ref="A7:A16"/>
    <mergeCell ref="D2:E2"/>
    <mergeCell ref="F2:G2"/>
    <mergeCell ref="D3:E3"/>
    <mergeCell ref="F3:G3"/>
    <mergeCell ref="D4:E4"/>
    <mergeCell ref="F4:G4"/>
  </mergeCells>
  <phoneticPr fontId="2" type="noConversion"/>
  <pageMargins left="0.7" right="0.7" top="0.75" bottom="0.75" header="0.3" footer="0.3"/>
  <headerFooter>
    <oddFooter>&amp;L_x000D_&amp;1#&amp;"Calibri"&amp;8&amp;K000000 [AIA - INTERNAL]</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F4AC-046A-4718-843B-6C6002A35B70}">
  <sheetPr>
    <tabColor theme="9" tint="0.79998168889431442"/>
  </sheetPr>
  <dimension ref="A2:H32"/>
  <sheetViews>
    <sheetView topLeftCell="B27" workbookViewId="0">
      <selection activeCell="F30" sqref="F30"/>
    </sheetView>
  </sheetViews>
  <sheetFormatPr defaultColWidth="9" defaultRowHeight="16.5" customHeight="1"/>
  <cols>
    <col min="1" max="1" width="9.75" bestFit="1" customWidth="1"/>
    <col min="2" max="2" width="21.25" customWidth="1"/>
    <col min="3" max="3" width="25" hidden="1" customWidth="1"/>
    <col min="4" max="4" width="73" customWidth="1"/>
    <col min="5" max="5" width="8.5" customWidth="1"/>
    <col min="6" max="6" width="57.625" customWidth="1"/>
    <col min="7" max="7" width="8.75" customWidth="1"/>
    <col min="8" max="8" width="50.625" customWidth="1"/>
    <col min="9" max="9" width="10.125" customWidth="1"/>
  </cols>
  <sheetData>
    <row r="2" spans="1:8" ht="16.5" customHeight="1">
      <c r="A2" s="199" t="s">
        <v>3</v>
      </c>
      <c r="B2" s="199" t="s">
        <v>196</v>
      </c>
      <c r="C2" s="200"/>
      <c r="D2" s="736" t="s">
        <v>197</v>
      </c>
      <c r="E2" s="737"/>
      <c r="F2" s="738" t="s">
        <v>198</v>
      </c>
      <c r="G2" s="739"/>
    </row>
    <row r="3" spans="1:8" ht="57" customHeight="1">
      <c r="A3" s="86" t="s">
        <v>14</v>
      </c>
      <c r="B3" s="86" t="s">
        <v>199</v>
      </c>
      <c r="C3" s="182"/>
      <c r="D3" s="740" t="s">
        <v>200</v>
      </c>
      <c r="E3" s="741"/>
      <c r="F3" s="742"/>
      <c r="G3" s="743"/>
      <c r="H3" s="184"/>
    </row>
    <row r="4" spans="1:8" ht="115.5" customHeight="1">
      <c r="A4" s="86" t="s">
        <v>39</v>
      </c>
      <c r="B4" s="86" t="s">
        <v>201</v>
      </c>
      <c r="C4" s="182"/>
      <c r="D4" s="740" t="s">
        <v>202</v>
      </c>
      <c r="E4" s="741"/>
      <c r="F4" s="740" t="s">
        <v>324</v>
      </c>
      <c r="G4" s="744"/>
      <c r="H4" s="184"/>
    </row>
    <row r="5" spans="1:8" ht="7.5" customHeight="1"/>
    <row r="6" spans="1:8" ht="36" customHeight="1">
      <c r="A6" s="22" t="s">
        <v>3</v>
      </c>
      <c r="B6" s="22" t="s">
        <v>4</v>
      </c>
      <c r="C6" s="22" t="s">
        <v>5</v>
      </c>
      <c r="D6" s="22" t="s">
        <v>204</v>
      </c>
      <c r="E6" s="22" t="s">
        <v>205</v>
      </c>
      <c r="F6" s="30" t="s">
        <v>206</v>
      </c>
      <c r="G6" s="22" t="s">
        <v>207</v>
      </c>
      <c r="H6" s="47" t="s">
        <v>208</v>
      </c>
    </row>
    <row r="7" spans="1:8" s="354" customFormat="1" ht="26.45">
      <c r="A7" s="732" t="s">
        <v>14</v>
      </c>
      <c r="B7" s="350" t="s">
        <v>209</v>
      </c>
      <c r="C7" s="351" t="s">
        <v>210</v>
      </c>
      <c r="D7" s="352" t="s">
        <v>325</v>
      </c>
      <c r="E7" s="352"/>
      <c r="F7" s="352"/>
      <c r="G7" s="357"/>
      <c r="H7" s="353" t="s">
        <v>217</v>
      </c>
    </row>
    <row r="8" spans="1:8" s="354" customFormat="1" ht="39.6">
      <c r="A8" s="732"/>
      <c r="B8" s="350" t="s">
        <v>15</v>
      </c>
      <c r="C8" s="350"/>
      <c r="D8" s="355" t="s">
        <v>326</v>
      </c>
      <c r="E8" s="355"/>
      <c r="F8" s="355"/>
      <c r="G8" s="357"/>
      <c r="H8" s="356" t="s">
        <v>215</v>
      </c>
    </row>
    <row r="9" spans="1:8" s="354" customFormat="1" ht="52.9">
      <c r="A9" s="732"/>
      <c r="B9" s="350" t="s">
        <v>23</v>
      </c>
      <c r="C9" s="350"/>
      <c r="D9" s="355" t="s">
        <v>327</v>
      </c>
      <c r="E9" s="355"/>
      <c r="F9" s="355"/>
      <c r="G9" s="357"/>
      <c r="H9" s="357" t="s">
        <v>217</v>
      </c>
    </row>
    <row r="10" spans="1:8" s="354" customFormat="1" ht="17.45">
      <c r="A10" s="732"/>
      <c r="B10" s="350" t="s">
        <v>25</v>
      </c>
      <c r="C10" s="350"/>
      <c r="D10" s="355" t="s">
        <v>328</v>
      </c>
      <c r="E10" s="355"/>
      <c r="F10" s="355"/>
      <c r="G10" s="357"/>
      <c r="H10" s="356" t="s">
        <v>217</v>
      </c>
    </row>
    <row r="11" spans="1:8" s="354" customFormat="1" ht="39.6">
      <c r="A11" s="732"/>
      <c r="B11" s="350" t="s">
        <v>27</v>
      </c>
      <c r="C11" s="350"/>
      <c r="D11" s="355" t="s">
        <v>312</v>
      </c>
      <c r="E11" s="355"/>
      <c r="F11" s="355"/>
      <c r="G11" s="357"/>
      <c r="H11" s="357" t="s">
        <v>217</v>
      </c>
    </row>
    <row r="12" spans="1:8" s="354" customFormat="1" ht="26.45">
      <c r="A12" s="732"/>
      <c r="B12" s="350" t="s">
        <v>29</v>
      </c>
      <c r="C12" s="350"/>
      <c r="D12" s="355" t="s">
        <v>281</v>
      </c>
      <c r="E12" s="355"/>
      <c r="F12" s="355"/>
      <c r="G12" s="357"/>
      <c r="H12" s="357" t="s">
        <v>217</v>
      </c>
    </row>
    <row r="13" spans="1:8" s="354" customFormat="1" ht="26.45">
      <c r="A13" s="732"/>
      <c r="B13" s="350" t="s">
        <v>31</v>
      </c>
      <c r="C13" s="350"/>
      <c r="D13" s="355" t="s">
        <v>281</v>
      </c>
      <c r="E13" s="355"/>
      <c r="F13" s="355"/>
      <c r="G13" s="357"/>
      <c r="H13" s="357" t="s">
        <v>221</v>
      </c>
    </row>
    <row r="14" spans="1:8" s="354" customFormat="1" ht="26.45">
      <c r="A14" s="732"/>
      <c r="B14" s="350" t="s">
        <v>33</v>
      </c>
      <c r="C14" s="350"/>
      <c r="D14" s="355" t="s">
        <v>315</v>
      </c>
      <c r="E14" s="355"/>
      <c r="F14" s="355"/>
      <c r="G14" s="357"/>
      <c r="H14" s="357" t="s">
        <v>217</v>
      </c>
    </row>
    <row r="15" spans="1:8" s="354" customFormat="1" ht="17.45">
      <c r="A15" s="732"/>
      <c r="B15" s="350" t="s">
        <v>36</v>
      </c>
      <c r="C15" s="350"/>
      <c r="D15" s="355" t="s">
        <v>246</v>
      </c>
      <c r="E15" s="355"/>
      <c r="F15" s="355"/>
      <c r="G15" s="357"/>
      <c r="H15" s="356" t="s">
        <v>223</v>
      </c>
    </row>
    <row r="16" spans="1:8" s="354" customFormat="1" ht="17.45">
      <c r="A16" s="732"/>
      <c r="B16" s="350" t="s">
        <v>38</v>
      </c>
      <c r="C16" s="350"/>
      <c r="D16" s="355" t="s">
        <v>246</v>
      </c>
      <c r="E16" s="355"/>
      <c r="F16" s="355"/>
      <c r="G16" s="357"/>
      <c r="H16" s="357" t="s">
        <v>224</v>
      </c>
    </row>
    <row r="17" spans="1:8" ht="16.5" hidden="1" customHeight="1">
      <c r="A17" s="745" t="s">
        <v>39</v>
      </c>
      <c r="B17" s="26" t="s">
        <v>209</v>
      </c>
      <c r="C17" s="26"/>
      <c r="D17" s="71"/>
      <c r="E17" s="71"/>
      <c r="F17" s="71"/>
      <c r="G17" s="71"/>
      <c r="H17" s="72"/>
    </row>
    <row r="18" spans="1:8" ht="16.5" hidden="1" customHeight="1">
      <c r="A18" s="734"/>
      <c r="B18" s="26" t="s">
        <v>40</v>
      </c>
      <c r="C18" s="26"/>
      <c r="D18" s="51"/>
      <c r="E18" s="51"/>
      <c r="F18" s="51"/>
      <c r="G18" s="51"/>
      <c r="H18" s="35"/>
    </row>
    <row r="19" spans="1:8" ht="17.100000000000001" hidden="1" customHeight="1">
      <c r="A19" s="734"/>
      <c r="B19" s="26" t="s">
        <v>41</v>
      </c>
      <c r="C19" s="26"/>
      <c r="D19" s="73"/>
      <c r="E19" s="73"/>
      <c r="F19" s="73"/>
      <c r="G19" s="73"/>
      <c r="H19" s="74"/>
    </row>
    <row r="20" spans="1:8" ht="17.100000000000001" hidden="1" customHeight="1">
      <c r="A20" s="734"/>
      <c r="B20" s="26" t="s">
        <v>42</v>
      </c>
      <c r="C20" s="26"/>
      <c r="D20" s="73"/>
      <c r="E20" s="73"/>
      <c r="F20" s="73"/>
      <c r="G20" s="73"/>
      <c r="H20" s="74"/>
    </row>
    <row r="21" spans="1:8" ht="17.100000000000001" hidden="1" customHeight="1">
      <c r="A21" s="734"/>
      <c r="B21" s="26" t="s">
        <v>43</v>
      </c>
      <c r="C21" s="26"/>
      <c r="D21" s="73"/>
      <c r="E21" s="73"/>
      <c r="F21" s="73"/>
      <c r="G21" s="73"/>
      <c r="H21" s="74"/>
    </row>
    <row r="22" spans="1:8" ht="16.5" hidden="1" customHeight="1">
      <c r="A22" s="734"/>
      <c r="B22" s="26" t="s">
        <v>44</v>
      </c>
      <c r="C22" s="26"/>
      <c r="D22" s="71"/>
      <c r="E22" s="71"/>
      <c r="F22" s="71"/>
      <c r="G22" s="71"/>
      <c r="H22" s="72"/>
    </row>
    <row r="23" spans="1:8" ht="16.5" hidden="1" customHeight="1">
      <c r="A23" s="734"/>
      <c r="B23" s="26" t="s">
        <v>45</v>
      </c>
      <c r="C23" s="26"/>
      <c r="D23" s="71"/>
      <c r="E23" s="71"/>
      <c r="F23" s="71"/>
      <c r="G23" s="71"/>
      <c r="H23" s="72"/>
    </row>
    <row r="24" spans="1:8" ht="16.5" hidden="1" customHeight="1">
      <c r="A24" s="734"/>
      <c r="B24" s="26" t="s">
        <v>49</v>
      </c>
      <c r="C24" s="26"/>
      <c r="D24" s="71"/>
      <c r="E24" s="71"/>
      <c r="F24" s="71"/>
      <c r="G24" s="71"/>
      <c r="H24" s="72"/>
    </row>
    <row r="25" spans="1:8" ht="16.5" hidden="1" customHeight="1">
      <c r="A25" s="734"/>
      <c r="B25" s="26" t="s">
        <v>50</v>
      </c>
      <c r="C25" s="26"/>
      <c r="D25" s="71"/>
      <c r="E25" s="71"/>
      <c r="F25" s="71"/>
      <c r="G25" s="71"/>
      <c r="H25" s="72"/>
    </row>
    <row r="26" spans="1:8" ht="78" customHeight="1">
      <c r="A26" s="734"/>
      <c r="B26" s="26" t="s">
        <v>209</v>
      </c>
      <c r="C26" s="26"/>
      <c r="D26" s="71" t="s">
        <v>329</v>
      </c>
      <c r="E26" s="71"/>
      <c r="F26" s="71" t="s">
        <v>330</v>
      </c>
      <c r="G26" s="71"/>
      <c r="H26" s="72"/>
    </row>
    <row r="27" spans="1:8" ht="39.6">
      <c r="A27" s="734"/>
      <c r="B27" s="26" t="s">
        <v>236</v>
      </c>
      <c r="C27" s="26"/>
      <c r="D27" s="358" t="s">
        <v>331</v>
      </c>
      <c r="E27" s="71"/>
      <c r="F27" s="71" t="s">
        <v>332</v>
      </c>
      <c r="G27" s="71"/>
      <c r="H27" s="72"/>
    </row>
    <row r="28" spans="1:8" ht="81.75" customHeight="1">
      <c r="A28" s="734"/>
      <c r="B28" s="417" t="s">
        <v>227</v>
      </c>
      <c r="C28" s="26"/>
      <c r="D28" s="71" t="s">
        <v>333</v>
      </c>
      <c r="E28" s="418">
        <v>46059</v>
      </c>
      <c r="F28" s="71" t="s">
        <v>334</v>
      </c>
      <c r="G28" s="71"/>
      <c r="H28" s="72"/>
    </row>
    <row r="29" spans="1:8" ht="102.75" customHeight="1">
      <c r="A29" s="734"/>
      <c r="B29" s="417" t="s">
        <v>132</v>
      </c>
      <c r="C29" s="26"/>
      <c r="D29" s="71" t="s">
        <v>335</v>
      </c>
      <c r="E29" s="71"/>
      <c r="F29" s="71" t="s">
        <v>336</v>
      </c>
      <c r="G29" s="71"/>
      <c r="H29" s="74"/>
    </row>
    <row r="30" spans="1:8" ht="54.75" customHeight="1">
      <c r="A30" s="734"/>
      <c r="B30" s="417" t="s">
        <v>55</v>
      </c>
      <c r="C30" s="26"/>
      <c r="D30" s="71" t="s">
        <v>337</v>
      </c>
      <c r="E30" s="71"/>
      <c r="F30" s="71" t="s">
        <v>332</v>
      </c>
      <c r="G30" s="71"/>
      <c r="H30" s="74"/>
    </row>
    <row r="31" spans="1:8" ht="78" customHeight="1">
      <c r="A31" s="734"/>
      <c r="B31" s="417" t="s">
        <v>60</v>
      </c>
      <c r="C31" s="26"/>
      <c r="D31" s="71" t="s">
        <v>338</v>
      </c>
      <c r="E31" s="418">
        <v>46059</v>
      </c>
      <c r="F31" s="71" t="s">
        <v>339</v>
      </c>
      <c r="G31" s="418">
        <v>46066</v>
      </c>
      <c r="H31" s="72" t="s">
        <v>286</v>
      </c>
    </row>
    <row r="32" spans="1:8" ht="172.5" customHeight="1">
      <c r="A32" s="734"/>
      <c r="B32" s="417" t="s">
        <v>233</v>
      </c>
      <c r="C32" s="26"/>
      <c r="D32" s="71" t="s">
        <v>340</v>
      </c>
      <c r="E32" s="418">
        <v>46059</v>
      </c>
      <c r="F32" s="71" t="s">
        <v>341</v>
      </c>
      <c r="G32" s="418">
        <v>46066</v>
      </c>
      <c r="H32" s="72" t="s">
        <v>342</v>
      </c>
    </row>
  </sheetData>
  <mergeCells count="8">
    <mergeCell ref="F2:G2"/>
    <mergeCell ref="F3:G3"/>
    <mergeCell ref="F4:G4"/>
    <mergeCell ref="A17:A32"/>
    <mergeCell ref="A7:A16"/>
    <mergeCell ref="D2:E2"/>
    <mergeCell ref="D3:E3"/>
    <mergeCell ref="D4:E4"/>
  </mergeCells>
  <phoneticPr fontId="2" type="noConversion"/>
  <pageMargins left="0.7" right="0.7" top="0.75" bottom="0.75" header="0.3" footer="0.3"/>
  <headerFooter>
    <oddFooter>&amp;L_x000D_&amp;1#&amp;"Calibri"&amp;8&amp;K000000 [AIA - INTERNAL]</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2B0CB-3980-4902-98EE-0FECD6E1D439}">
  <sheetPr>
    <tabColor theme="9" tint="0.79998168889431442"/>
  </sheetPr>
  <dimension ref="A2:F31"/>
  <sheetViews>
    <sheetView workbookViewId="0">
      <selection activeCell="B40" sqref="B40"/>
    </sheetView>
  </sheetViews>
  <sheetFormatPr defaultColWidth="9" defaultRowHeight="16.5" customHeight="1"/>
  <cols>
    <col min="1" max="1" width="9.75" bestFit="1" customWidth="1"/>
    <col min="2" max="2" width="18.25" bestFit="1" customWidth="1"/>
    <col min="3" max="3" width="25" hidden="1" customWidth="1"/>
    <col min="4" max="4" width="94.625" customWidth="1"/>
    <col min="5" max="5" width="66" customWidth="1"/>
    <col min="6" max="6" width="50.625" customWidth="1"/>
    <col min="7" max="7" width="10.125" customWidth="1"/>
  </cols>
  <sheetData>
    <row r="2" spans="1:6" ht="16.5" customHeight="1">
      <c r="A2" s="199" t="s">
        <v>3</v>
      </c>
      <c r="B2" s="199" t="s">
        <v>196</v>
      </c>
      <c r="C2" s="200"/>
      <c r="D2" s="199" t="s">
        <v>197</v>
      </c>
      <c r="E2" s="199" t="s">
        <v>198</v>
      </c>
    </row>
    <row r="3" spans="1:6" ht="57" customHeight="1">
      <c r="A3" s="86" t="s">
        <v>14</v>
      </c>
      <c r="B3" s="86" t="s">
        <v>199</v>
      </c>
      <c r="C3" s="182"/>
      <c r="D3" s="185" t="s">
        <v>200</v>
      </c>
      <c r="E3" s="183"/>
      <c r="F3" s="184"/>
    </row>
    <row r="4" spans="1:6" ht="45" customHeight="1">
      <c r="A4" s="86" t="s">
        <v>39</v>
      </c>
      <c r="B4" s="86" t="s">
        <v>201</v>
      </c>
      <c r="C4" s="182"/>
      <c r="D4" s="185" t="s">
        <v>202</v>
      </c>
      <c r="E4" s="183"/>
      <c r="F4" s="184"/>
    </row>
    <row r="5" spans="1:6" ht="7.5" customHeight="1"/>
    <row r="6" spans="1:6" ht="17.45">
      <c r="A6" s="22" t="s">
        <v>3</v>
      </c>
      <c r="B6" s="22" t="s">
        <v>4</v>
      </c>
      <c r="C6" s="22" t="s">
        <v>5</v>
      </c>
      <c r="D6" s="22" t="s">
        <v>204</v>
      </c>
      <c r="E6" s="22" t="s">
        <v>206</v>
      </c>
      <c r="F6" s="47" t="s">
        <v>343</v>
      </c>
    </row>
    <row r="7" spans="1:6" s="354" customFormat="1" ht="92.45">
      <c r="A7" s="732" t="s">
        <v>14</v>
      </c>
      <c r="B7" s="350" t="s">
        <v>209</v>
      </c>
      <c r="C7" s="351" t="s">
        <v>210</v>
      </c>
      <c r="D7" s="70" t="s">
        <v>344</v>
      </c>
      <c r="E7" s="352" t="s">
        <v>325</v>
      </c>
      <c r="F7" s="353" t="s">
        <v>217</v>
      </c>
    </row>
    <row r="8" spans="1:6" s="354" customFormat="1" ht="39.6">
      <c r="A8" s="732"/>
      <c r="B8" s="350" t="s">
        <v>15</v>
      </c>
      <c r="C8" s="350"/>
      <c r="D8" s="75" t="s">
        <v>345</v>
      </c>
      <c r="E8" s="355" t="s">
        <v>326</v>
      </c>
      <c r="F8" s="356" t="s">
        <v>215</v>
      </c>
    </row>
    <row r="9" spans="1:6" s="354" customFormat="1" ht="52.9">
      <c r="A9" s="732"/>
      <c r="B9" s="350" t="s">
        <v>23</v>
      </c>
      <c r="C9" s="350"/>
      <c r="D9" s="75" t="s">
        <v>327</v>
      </c>
      <c r="E9" s="355" t="s">
        <v>327</v>
      </c>
      <c r="F9" s="357" t="s">
        <v>217</v>
      </c>
    </row>
    <row r="10" spans="1:6" s="354" customFormat="1" ht="26.45">
      <c r="A10" s="732"/>
      <c r="B10" s="350" t="s">
        <v>25</v>
      </c>
      <c r="C10" s="350"/>
      <c r="D10" s="75" t="s">
        <v>346</v>
      </c>
      <c r="E10" s="355" t="s">
        <v>328</v>
      </c>
      <c r="F10" s="356" t="s">
        <v>217</v>
      </c>
    </row>
    <row r="11" spans="1:6" s="354" customFormat="1" ht="39.6">
      <c r="A11" s="732"/>
      <c r="B11" s="350" t="s">
        <v>27</v>
      </c>
      <c r="C11" s="350"/>
      <c r="D11" s="75" t="s">
        <v>347</v>
      </c>
      <c r="E11" s="355" t="s">
        <v>312</v>
      </c>
      <c r="F11" s="357" t="s">
        <v>217</v>
      </c>
    </row>
    <row r="12" spans="1:6" s="354" customFormat="1" ht="26.45">
      <c r="A12" s="732"/>
      <c r="B12" s="350" t="s">
        <v>29</v>
      </c>
      <c r="C12" s="350"/>
      <c r="D12" s="75" t="s">
        <v>315</v>
      </c>
      <c r="E12" s="355" t="s">
        <v>281</v>
      </c>
      <c r="F12" s="357" t="s">
        <v>217</v>
      </c>
    </row>
    <row r="13" spans="1:6" s="354" customFormat="1" ht="39.6">
      <c r="A13" s="732"/>
      <c r="B13" s="350" t="s">
        <v>31</v>
      </c>
      <c r="C13" s="350"/>
      <c r="D13" s="75" t="s">
        <v>347</v>
      </c>
      <c r="E13" s="355" t="s">
        <v>281</v>
      </c>
      <c r="F13" s="357" t="s">
        <v>221</v>
      </c>
    </row>
    <row r="14" spans="1:6" s="354" customFormat="1" ht="26.45">
      <c r="A14" s="732"/>
      <c r="B14" s="350" t="s">
        <v>33</v>
      </c>
      <c r="C14" s="350"/>
      <c r="D14" s="76" t="s">
        <v>246</v>
      </c>
      <c r="E14" s="355" t="s">
        <v>315</v>
      </c>
      <c r="F14" s="357" t="s">
        <v>217</v>
      </c>
    </row>
    <row r="15" spans="1:6" s="354" customFormat="1" ht="17.45">
      <c r="A15" s="732"/>
      <c r="B15" s="350" t="s">
        <v>36</v>
      </c>
      <c r="C15" s="350"/>
      <c r="D15" s="76" t="s">
        <v>246</v>
      </c>
      <c r="E15" s="355" t="s">
        <v>246</v>
      </c>
      <c r="F15" s="356" t="s">
        <v>223</v>
      </c>
    </row>
    <row r="16" spans="1:6" s="354" customFormat="1" ht="17.45">
      <c r="A16" s="732"/>
      <c r="B16" s="350" t="s">
        <v>38</v>
      </c>
      <c r="C16" s="350"/>
      <c r="D16" s="76" t="s">
        <v>246</v>
      </c>
      <c r="E16" s="355" t="s">
        <v>246</v>
      </c>
      <c r="F16" s="357" t="s">
        <v>224</v>
      </c>
    </row>
    <row r="17" spans="1:6" ht="17.45" hidden="1">
      <c r="A17" s="746" t="s">
        <v>39</v>
      </c>
      <c r="B17" s="26" t="s">
        <v>209</v>
      </c>
      <c r="C17" s="26"/>
      <c r="D17" s="71"/>
      <c r="E17" s="71"/>
      <c r="F17" s="72"/>
    </row>
    <row r="18" spans="1:6" ht="17.45" hidden="1">
      <c r="A18" s="746"/>
      <c r="B18" s="26" t="s">
        <v>40</v>
      </c>
      <c r="C18" s="26"/>
      <c r="D18" s="51"/>
      <c r="E18" s="51"/>
      <c r="F18" s="35"/>
    </row>
    <row r="19" spans="1:6" ht="17.100000000000001" hidden="1" customHeight="1">
      <c r="A19" s="746"/>
      <c r="B19" s="26" t="s">
        <v>41</v>
      </c>
      <c r="C19" s="26"/>
      <c r="D19" s="73"/>
      <c r="E19" s="73"/>
      <c r="F19" s="74"/>
    </row>
    <row r="20" spans="1:6" ht="17.100000000000001" hidden="1" customHeight="1">
      <c r="A20" s="746"/>
      <c r="B20" s="26" t="s">
        <v>42</v>
      </c>
      <c r="C20" s="26"/>
      <c r="D20" s="73"/>
      <c r="E20" s="73"/>
      <c r="F20" s="74"/>
    </row>
    <row r="21" spans="1:6" ht="17.100000000000001" hidden="1" customHeight="1">
      <c r="A21" s="746"/>
      <c r="B21" s="26" t="s">
        <v>43</v>
      </c>
      <c r="C21" s="26"/>
      <c r="D21" s="73"/>
      <c r="E21" s="73"/>
      <c r="F21" s="74"/>
    </row>
    <row r="22" spans="1:6" ht="17.45" hidden="1">
      <c r="A22" s="746"/>
      <c r="B22" s="26" t="s">
        <v>44</v>
      </c>
      <c r="C22" s="26"/>
      <c r="D22" s="71"/>
      <c r="E22" s="71"/>
      <c r="F22" s="72"/>
    </row>
    <row r="23" spans="1:6" ht="17.45" hidden="1">
      <c r="A23" s="746"/>
      <c r="B23" s="26" t="s">
        <v>45</v>
      </c>
      <c r="C23" s="26"/>
      <c r="D23" s="71"/>
      <c r="E23" s="71"/>
      <c r="F23" s="72"/>
    </row>
    <row r="24" spans="1:6" ht="17.45" hidden="1">
      <c r="A24" s="746"/>
      <c r="B24" s="26" t="s">
        <v>49</v>
      </c>
      <c r="C24" s="26"/>
      <c r="D24" s="71"/>
      <c r="E24" s="71"/>
      <c r="F24" s="72"/>
    </row>
    <row r="25" spans="1:6" ht="17.45" hidden="1">
      <c r="A25" s="746"/>
      <c r="B25" s="26" t="s">
        <v>50</v>
      </c>
      <c r="C25" s="26"/>
      <c r="D25" s="71"/>
      <c r="E25" s="71"/>
      <c r="F25" s="72"/>
    </row>
    <row r="26" spans="1:6" ht="39.6">
      <c r="A26" s="746"/>
      <c r="B26" s="26" t="s">
        <v>236</v>
      </c>
      <c r="C26" s="26"/>
      <c r="D26" s="71" t="s">
        <v>348</v>
      </c>
      <c r="E26" s="71" t="s">
        <v>349</v>
      </c>
      <c r="F26" s="72"/>
    </row>
    <row r="27" spans="1:6" ht="211.15">
      <c r="A27" s="746"/>
      <c r="B27" s="26" t="s">
        <v>51</v>
      </c>
      <c r="C27" s="26"/>
      <c r="D27" s="71" t="s">
        <v>350</v>
      </c>
      <c r="E27" s="71" t="s">
        <v>351</v>
      </c>
      <c r="F27" s="74"/>
    </row>
    <row r="28" spans="1:6" ht="39.6">
      <c r="A28" s="746"/>
      <c r="B28" s="26" t="s">
        <v>55</v>
      </c>
      <c r="C28" s="26"/>
      <c r="D28" s="71" t="s">
        <v>352</v>
      </c>
      <c r="E28" s="71" t="s">
        <v>353</v>
      </c>
      <c r="F28" s="74"/>
    </row>
    <row r="29" spans="1:6" ht="41.25" customHeight="1">
      <c r="A29" s="746"/>
      <c r="B29" s="26" t="s">
        <v>60</v>
      </c>
      <c r="C29" s="26"/>
      <c r="D29" s="71" t="s">
        <v>354</v>
      </c>
      <c r="E29" s="71" t="s">
        <v>355</v>
      </c>
      <c r="F29" s="74"/>
    </row>
    <row r="30" spans="1:6" ht="409.6">
      <c r="A30" s="746"/>
      <c r="B30" s="26" t="s">
        <v>233</v>
      </c>
      <c r="C30" s="26"/>
      <c r="D30" s="358" t="s">
        <v>356</v>
      </c>
      <c r="E30" s="71"/>
      <c r="F30" s="72"/>
    </row>
    <row r="31" spans="1:6" ht="17.45"/>
  </sheetData>
  <mergeCells count="2">
    <mergeCell ref="A7:A16"/>
    <mergeCell ref="A17:A30"/>
  </mergeCells>
  <phoneticPr fontId="2" type="noConversion"/>
  <pageMargins left="0.7" right="0.7" top="0.75" bottom="0.75" header="0.3" footer="0.3"/>
  <headerFooter>
    <oddFooter>&amp;L_x000D_&amp;1#&amp;"Calibri"&amp;8&amp;K000000 [AIA - INTERNAL]</oddFoot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E42F0-83ED-4BAF-8074-ED55497C8336}">
  <sheetPr>
    <tabColor theme="9" tint="0.79998168889431442"/>
  </sheetPr>
  <dimension ref="A1:F26"/>
  <sheetViews>
    <sheetView workbookViewId="0">
      <pane ySplit="2" topLeftCell="A4" activePane="bottomLeft" state="frozen"/>
      <selection pane="bottomLeft" activeCell="D4" sqref="D4"/>
    </sheetView>
  </sheetViews>
  <sheetFormatPr defaultRowHeight="16.5" customHeight="1"/>
  <cols>
    <col min="1" max="1" width="9.75" bestFit="1" customWidth="1"/>
    <col min="2" max="2" width="18.25" bestFit="1" customWidth="1"/>
    <col min="3" max="3" width="25" hidden="1" customWidth="1"/>
    <col min="4" max="4" width="71.125" bestFit="1" customWidth="1"/>
    <col min="5" max="5" width="66" customWidth="1"/>
    <col min="6" max="6" width="50.625" customWidth="1"/>
    <col min="7" max="7" width="10.125" customWidth="1"/>
  </cols>
  <sheetData>
    <row r="1" spans="1:6" ht="16.5" customHeight="1">
      <c r="B1" t="s">
        <v>357</v>
      </c>
      <c r="D1" t="s">
        <v>358</v>
      </c>
    </row>
    <row r="2" spans="1:6" ht="17.45">
      <c r="A2" s="22" t="s">
        <v>3</v>
      </c>
      <c r="B2" s="22" t="s">
        <v>4</v>
      </c>
      <c r="C2" s="22" t="s">
        <v>5</v>
      </c>
      <c r="D2" s="22" t="s">
        <v>204</v>
      </c>
      <c r="E2" s="22" t="s">
        <v>206</v>
      </c>
      <c r="F2" s="47" t="s">
        <v>343</v>
      </c>
    </row>
    <row r="3" spans="1:6" ht="105.6">
      <c r="A3" s="746" t="s">
        <v>14</v>
      </c>
      <c r="B3" s="26" t="s">
        <v>209</v>
      </c>
      <c r="C3" s="45" t="s">
        <v>210</v>
      </c>
      <c r="D3" s="68" t="s">
        <v>359</v>
      </c>
      <c r="E3" s="70" t="s">
        <v>360</v>
      </c>
      <c r="F3" s="69"/>
    </row>
    <row r="4" spans="1:6" ht="132">
      <c r="A4" s="746"/>
      <c r="B4" s="26" t="s">
        <v>15</v>
      </c>
      <c r="C4" s="26"/>
      <c r="D4" s="49" t="s">
        <v>361</v>
      </c>
      <c r="E4" s="75" t="s">
        <v>345</v>
      </c>
      <c r="F4" s="46" t="s">
        <v>215</v>
      </c>
    </row>
    <row r="5" spans="1:6" ht="52.9">
      <c r="A5" s="746"/>
      <c r="B5" s="26" t="s">
        <v>23</v>
      </c>
      <c r="C5" s="26"/>
      <c r="D5" s="68" t="s">
        <v>362</v>
      </c>
      <c r="E5" s="75" t="s">
        <v>327</v>
      </c>
      <c r="F5" s="70"/>
    </row>
    <row r="6" spans="1:6" ht="26.45">
      <c r="A6" s="746"/>
      <c r="B6" s="26" t="s">
        <v>25</v>
      </c>
      <c r="C6" s="26"/>
      <c r="D6" s="49" t="s">
        <v>363</v>
      </c>
      <c r="E6" s="75" t="s">
        <v>346</v>
      </c>
      <c r="F6" s="46"/>
    </row>
    <row r="7" spans="1:6" ht="39.6">
      <c r="A7" s="746"/>
      <c r="B7" s="26" t="s">
        <v>27</v>
      </c>
      <c r="C7" s="26"/>
      <c r="D7" s="68" t="s">
        <v>363</v>
      </c>
      <c r="E7" s="75" t="s">
        <v>347</v>
      </c>
      <c r="F7" s="70"/>
    </row>
    <row r="8" spans="1:6" ht="26.45">
      <c r="A8" s="746"/>
      <c r="B8" s="26" t="s">
        <v>29</v>
      </c>
      <c r="C8" s="26"/>
      <c r="D8" s="68" t="s">
        <v>363</v>
      </c>
      <c r="E8" s="75" t="s">
        <v>315</v>
      </c>
      <c r="F8" s="70"/>
    </row>
    <row r="9" spans="1:6" ht="39.6">
      <c r="A9" s="746"/>
      <c r="B9" s="26" t="s">
        <v>31</v>
      </c>
      <c r="C9" s="26"/>
      <c r="D9" s="68" t="s">
        <v>364</v>
      </c>
      <c r="E9" s="75" t="s">
        <v>347</v>
      </c>
      <c r="F9" s="70" t="s">
        <v>221</v>
      </c>
    </row>
    <row r="10" spans="1:6" ht="26.45">
      <c r="A10" s="746"/>
      <c r="B10" s="26" t="s">
        <v>33</v>
      </c>
      <c r="C10" s="26"/>
      <c r="D10" s="71" t="s">
        <v>365</v>
      </c>
      <c r="E10" s="76" t="s">
        <v>246</v>
      </c>
      <c r="F10" s="72" t="s">
        <v>366</v>
      </c>
    </row>
    <row r="11" spans="1:6" ht="17.45">
      <c r="A11" s="746"/>
      <c r="B11" s="26" t="s">
        <v>36</v>
      </c>
      <c r="C11" s="26"/>
      <c r="D11" s="51"/>
      <c r="E11" s="76" t="s">
        <v>246</v>
      </c>
      <c r="F11" s="46" t="s">
        <v>223</v>
      </c>
    </row>
    <row r="12" spans="1:6" ht="17.45">
      <c r="A12" s="746"/>
      <c r="B12" s="26" t="s">
        <v>38</v>
      </c>
      <c r="C12" s="26"/>
      <c r="D12" s="68"/>
      <c r="E12" s="76" t="s">
        <v>246</v>
      </c>
      <c r="F12" s="70" t="s">
        <v>224</v>
      </c>
    </row>
    <row r="13" spans="1:6" ht="39.6">
      <c r="A13" s="746" t="s">
        <v>39</v>
      </c>
      <c r="B13" s="26" t="s">
        <v>209</v>
      </c>
      <c r="C13" s="26"/>
      <c r="D13" s="71" t="s">
        <v>367</v>
      </c>
      <c r="E13" s="71"/>
      <c r="F13" s="72"/>
    </row>
    <row r="14" spans="1:6" ht="17.45" hidden="1">
      <c r="A14" s="746"/>
      <c r="B14" s="26" t="s">
        <v>40</v>
      </c>
      <c r="C14" s="26"/>
      <c r="D14" s="49">
        <v>1</v>
      </c>
      <c r="E14" s="51"/>
      <c r="F14" s="35"/>
    </row>
    <row r="15" spans="1:6" ht="17.100000000000001" hidden="1" customHeight="1">
      <c r="A15" s="746"/>
      <c r="B15" s="26" t="s">
        <v>41</v>
      </c>
      <c r="C15" s="26"/>
      <c r="D15" s="73"/>
      <c r="E15" s="73"/>
      <c r="F15" s="74"/>
    </row>
    <row r="16" spans="1:6" ht="17.100000000000001" hidden="1" customHeight="1">
      <c r="A16" s="746"/>
      <c r="B16" s="26" t="s">
        <v>42</v>
      </c>
      <c r="C16" s="26"/>
      <c r="D16" s="73"/>
      <c r="E16" s="73"/>
      <c r="F16" s="74"/>
    </row>
    <row r="17" spans="1:6" ht="17.100000000000001" hidden="1" customHeight="1">
      <c r="A17" s="746"/>
      <c r="B17" s="26" t="s">
        <v>43</v>
      </c>
      <c r="C17" s="26"/>
      <c r="D17" s="73"/>
      <c r="E17" s="73"/>
      <c r="F17" s="74"/>
    </row>
    <row r="18" spans="1:6" ht="17.45" hidden="1">
      <c r="A18" s="746"/>
      <c r="B18" s="26" t="s">
        <v>44</v>
      </c>
      <c r="C18" s="26"/>
      <c r="D18" s="71"/>
      <c r="E18" s="71"/>
      <c r="F18" s="72"/>
    </row>
    <row r="19" spans="1:6" ht="26.45" hidden="1">
      <c r="A19" s="746"/>
      <c r="B19" s="26" t="s">
        <v>45</v>
      </c>
      <c r="C19" s="26"/>
      <c r="D19" s="71" t="s">
        <v>368</v>
      </c>
      <c r="E19" s="71"/>
      <c r="F19" s="72"/>
    </row>
    <row r="20" spans="1:6" ht="26.45" hidden="1">
      <c r="A20" s="746"/>
      <c r="B20" s="26" t="s">
        <v>49</v>
      </c>
      <c r="C20" s="26"/>
      <c r="D20" s="71" t="s">
        <v>368</v>
      </c>
      <c r="E20" s="71"/>
      <c r="F20" s="72"/>
    </row>
    <row r="21" spans="1:6" ht="26.45" hidden="1">
      <c r="A21" s="746"/>
      <c r="B21" s="26" t="s">
        <v>50</v>
      </c>
      <c r="C21" s="26"/>
      <c r="D21" s="71" t="s">
        <v>368</v>
      </c>
      <c r="E21" s="71"/>
      <c r="F21" s="72"/>
    </row>
    <row r="22" spans="1:6" ht="39.6">
      <c r="A22" s="746"/>
      <c r="B22" s="26" t="s">
        <v>51</v>
      </c>
      <c r="C22" s="26"/>
      <c r="D22" s="71" t="s">
        <v>369</v>
      </c>
      <c r="E22" s="71" t="s">
        <v>370</v>
      </c>
      <c r="F22" s="74"/>
    </row>
    <row r="23" spans="1:6" ht="17.45">
      <c r="A23" s="746"/>
      <c r="B23" s="26" t="s">
        <v>55</v>
      </c>
      <c r="C23" s="26"/>
      <c r="D23" s="73"/>
      <c r="E23" s="73"/>
      <c r="F23" s="74"/>
    </row>
    <row r="24" spans="1:6" ht="17.100000000000001" customHeight="1">
      <c r="A24" s="746"/>
      <c r="B24" s="26" t="s">
        <v>60</v>
      </c>
      <c r="C24" s="26"/>
      <c r="D24" s="73"/>
      <c r="E24" s="73"/>
      <c r="F24" s="74"/>
    </row>
    <row r="25" spans="1:6" ht="66">
      <c r="A25" s="746"/>
      <c r="B25" s="26" t="s">
        <v>233</v>
      </c>
      <c r="C25" s="26"/>
      <c r="D25" s="71" t="s">
        <v>371</v>
      </c>
      <c r="E25" s="71" t="s">
        <v>372</v>
      </c>
      <c r="F25" s="72"/>
    </row>
    <row r="26" spans="1:6" ht="17.45"/>
  </sheetData>
  <mergeCells count="2">
    <mergeCell ref="A3:A12"/>
    <mergeCell ref="A13:A25"/>
  </mergeCells>
  <phoneticPr fontId="2" type="noConversion"/>
  <pageMargins left="0.7" right="0.7" top="0.75" bottom="0.75" header="0.3" footer="0.3"/>
  <headerFooter>
    <oddFooter>&amp;L_x000D_&amp;1#&amp;"Calibri"&amp;8&amp;K000000 [AIA - INTERNAL]</oddFooter>
  </headerFooter>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264CF-DD80-4354-9FC7-9A445423A963}">
  <sheetPr>
    <tabColor theme="9" tint="0.79998168889431442"/>
  </sheetPr>
  <dimension ref="A1:F26"/>
  <sheetViews>
    <sheetView workbookViewId="0">
      <pane ySplit="2" topLeftCell="A3" activePane="bottomLeft" state="frozen"/>
      <selection pane="bottomLeft" activeCell="D3" sqref="D3"/>
    </sheetView>
  </sheetViews>
  <sheetFormatPr defaultRowHeight="16.5" customHeight="1"/>
  <cols>
    <col min="1" max="1" width="9.75" bestFit="1" customWidth="1"/>
    <col min="2" max="2" width="18.25" bestFit="1" customWidth="1"/>
    <col min="3" max="3" width="25" hidden="1" customWidth="1"/>
    <col min="4" max="4" width="55.625" customWidth="1"/>
    <col min="5" max="5" width="66" customWidth="1"/>
    <col min="6" max="6" width="50.625" customWidth="1"/>
    <col min="7" max="7" width="10.125" customWidth="1"/>
  </cols>
  <sheetData>
    <row r="1" spans="1:6" ht="16.5" customHeight="1">
      <c r="B1" t="s">
        <v>357</v>
      </c>
      <c r="D1" t="s">
        <v>358</v>
      </c>
    </row>
    <row r="2" spans="1:6" ht="17.45">
      <c r="A2" s="22" t="s">
        <v>3</v>
      </c>
      <c r="B2" s="22" t="s">
        <v>4</v>
      </c>
      <c r="C2" s="22" t="s">
        <v>5</v>
      </c>
      <c r="D2" s="22" t="s">
        <v>204</v>
      </c>
      <c r="E2" s="22" t="s">
        <v>206</v>
      </c>
      <c r="F2" s="47" t="s">
        <v>373</v>
      </c>
    </row>
    <row r="3" spans="1:6" ht="92.45">
      <c r="A3" s="746" t="s">
        <v>374</v>
      </c>
      <c r="B3" s="26" t="s">
        <v>209</v>
      </c>
      <c r="C3" s="45" t="s">
        <v>210</v>
      </c>
      <c r="D3" s="33" t="s">
        <v>375</v>
      </c>
      <c r="E3" s="48" t="s">
        <v>376</v>
      </c>
      <c r="F3" s="33"/>
    </row>
    <row r="4" spans="1:6" ht="132">
      <c r="A4" s="746"/>
      <c r="B4" s="26" t="s">
        <v>15</v>
      </c>
      <c r="C4" s="26"/>
      <c r="D4" s="34" t="s">
        <v>377</v>
      </c>
      <c r="E4" s="49" t="s">
        <v>361</v>
      </c>
      <c r="F4" s="46"/>
    </row>
    <row r="5" spans="1:6" ht="26.45">
      <c r="A5" s="746"/>
      <c r="B5" s="26" t="s">
        <v>23</v>
      </c>
      <c r="C5" s="26"/>
      <c r="D5" s="33"/>
      <c r="E5" s="48" t="s">
        <v>362</v>
      </c>
      <c r="F5" s="33"/>
    </row>
    <row r="6" spans="1:6" ht="26.45">
      <c r="A6" s="746"/>
      <c r="B6" s="26" t="s">
        <v>25</v>
      </c>
      <c r="C6" s="26"/>
      <c r="D6" s="35"/>
      <c r="E6" s="49" t="s">
        <v>363</v>
      </c>
      <c r="F6" s="46"/>
    </row>
    <row r="7" spans="1:6" ht="26.45">
      <c r="A7" s="746"/>
      <c r="B7" s="26" t="s">
        <v>27</v>
      </c>
      <c r="C7" s="26"/>
      <c r="D7" s="33"/>
      <c r="E7" s="48" t="s">
        <v>363</v>
      </c>
      <c r="F7" s="33"/>
    </row>
    <row r="8" spans="1:6" ht="26.45">
      <c r="A8" s="746"/>
      <c r="B8" s="26" t="s">
        <v>29</v>
      </c>
      <c r="C8" s="26"/>
      <c r="D8" s="33"/>
      <c r="E8" s="48" t="s">
        <v>363</v>
      </c>
      <c r="F8" s="33"/>
    </row>
    <row r="9" spans="1:6" ht="17.45">
      <c r="A9" s="746"/>
      <c r="B9" s="26" t="s">
        <v>31</v>
      </c>
      <c r="C9" s="26"/>
      <c r="D9" s="33"/>
      <c r="E9" s="48" t="s">
        <v>364</v>
      </c>
      <c r="F9" s="33" t="s">
        <v>221</v>
      </c>
    </row>
    <row r="10" spans="1:6" ht="26.45">
      <c r="A10" s="746"/>
      <c r="B10" s="26" t="s">
        <v>33</v>
      </c>
      <c r="C10" s="26"/>
      <c r="D10" s="35"/>
      <c r="E10" s="50" t="s">
        <v>365</v>
      </c>
      <c r="F10" s="36" t="s">
        <v>366</v>
      </c>
    </row>
    <row r="11" spans="1:6" ht="17.45">
      <c r="A11" s="746"/>
      <c r="B11" s="26" t="s">
        <v>36</v>
      </c>
      <c r="C11" s="26"/>
      <c r="D11" s="35"/>
      <c r="E11" s="51"/>
      <c r="F11" s="46" t="s">
        <v>223</v>
      </c>
    </row>
    <row r="12" spans="1:6" ht="17.45">
      <c r="A12" s="746"/>
      <c r="B12" s="26" t="s">
        <v>38</v>
      </c>
      <c r="C12" s="26"/>
      <c r="D12" s="33"/>
      <c r="E12" s="48"/>
      <c r="F12" s="33" t="s">
        <v>224</v>
      </c>
    </row>
    <row r="13" spans="1:6" ht="39.6">
      <c r="A13" s="746" t="s">
        <v>39</v>
      </c>
      <c r="B13" s="26" t="s">
        <v>209</v>
      </c>
      <c r="C13" s="26"/>
      <c r="D13" s="35"/>
      <c r="E13" s="50" t="s">
        <v>367</v>
      </c>
      <c r="F13" s="36"/>
    </row>
    <row r="14" spans="1:6" ht="17.45" hidden="1">
      <c r="A14" s="746"/>
      <c r="B14" s="26" t="s">
        <v>40</v>
      </c>
      <c r="C14" s="26"/>
      <c r="D14" s="35"/>
      <c r="E14" s="51"/>
      <c r="F14" s="35"/>
    </row>
    <row r="15" spans="1:6" ht="17.100000000000001" hidden="1" customHeight="1">
      <c r="A15" s="746"/>
      <c r="B15" s="26" t="s">
        <v>41</v>
      </c>
      <c r="C15" s="26"/>
      <c r="D15" s="37"/>
      <c r="E15" s="52"/>
      <c r="F15" s="37"/>
    </row>
    <row r="16" spans="1:6" ht="17.100000000000001" hidden="1" customHeight="1">
      <c r="A16" s="746"/>
      <c r="B16" s="26" t="s">
        <v>42</v>
      </c>
      <c r="C16" s="26"/>
      <c r="D16" s="37"/>
      <c r="E16" s="52"/>
      <c r="F16" s="37"/>
    </row>
    <row r="17" spans="1:6" ht="17.100000000000001" hidden="1" customHeight="1">
      <c r="A17" s="746"/>
      <c r="B17" s="26" t="s">
        <v>43</v>
      </c>
      <c r="C17" s="26"/>
      <c r="D17" s="37"/>
      <c r="E17" s="52"/>
      <c r="F17" s="37"/>
    </row>
    <row r="18" spans="1:6" ht="17.45" hidden="1">
      <c r="A18" s="746"/>
      <c r="B18" s="26" t="s">
        <v>44</v>
      </c>
      <c r="C18" s="26"/>
      <c r="D18" s="37"/>
      <c r="E18" s="50"/>
      <c r="F18" s="36"/>
    </row>
    <row r="19" spans="1:6" ht="26.45">
      <c r="A19" s="746"/>
      <c r="B19" s="26" t="s">
        <v>45</v>
      </c>
      <c r="C19" s="26"/>
      <c r="D19" s="37"/>
      <c r="E19" s="50" t="s">
        <v>368</v>
      </c>
      <c r="F19" s="36"/>
    </row>
    <row r="20" spans="1:6" ht="26.45">
      <c r="A20" s="746"/>
      <c r="B20" s="26" t="s">
        <v>49</v>
      </c>
      <c r="C20" s="26"/>
      <c r="D20" s="37"/>
      <c r="E20" s="50" t="s">
        <v>368</v>
      </c>
      <c r="F20" s="36"/>
    </row>
    <row r="21" spans="1:6" ht="26.45">
      <c r="A21" s="746"/>
      <c r="B21" s="26" t="s">
        <v>50</v>
      </c>
      <c r="C21" s="26"/>
      <c r="D21" s="37"/>
      <c r="E21" s="50" t="s">
        <v>368</v>
      </c>
      <c r="F21" s="36"/>
    </row>
    <row r="22" spans="1:6" ht="17.100000000000001" customHeight="1">
      <c r="A22" s="746"/>
      <c r="B22" s="26" t="s">
        <v>51</v>
      </c>
      <c r="C22" s="26"/>
      <c r="D22" s="37"/>
      <c r="E22" s="52"/>
      <c r="F22" s="37"/>
    </row>
    <row r="23" spans="1:6" ht="17.100000000000001" customHeight="1">
      <c r="A23" s="746"/>
      <c r="B23" s="26" t="s">
        <v>55</v>
      </c>
      <c r="C23" s="26"/>
      <c r="D23" s="37"/>
      <c r="E23" s="52"/>
      <c r="F23" s="37"/>
    </row>
    <row r="24" spans="1:6" ht="17.100000000000001" customHeight="1">
      <c r="A24" s="746"/>
      <c r="B24" s="26" t="s">
        <v>60</v>
      </c>
      <c r="C24" s="26"/>
      <c r="D24" s="37"/>
      <c r="E24" s="52"/>
      <c r="F24" s="37"/>
    </row>
    <row r="25" spans="1:6" ht="26.45">
      <c r="A25" s="746"/>
      <c r="B25" s="26" t="s">
        <v>233</v>
      </c>
      <c r="C25" s="26"/>
      <c r="D25" s="36"/>
      <c r="E25" s="50" t="s">
        <v>378</v>
      </c>
      <c r="F25" s="36"/>
    </row>
    <row r="26" spans="1:6" ht="17.45"/>
  </sheetData>
  <mergeCells count="2">
    <mergeCell ref="A13:A25"/>
    <mergeCell ref="A3:A12"/>
  </mergeCells>
  <phoneticPr fontId="2" type="noConversion"/>
  <pageMargins left="0.7" right="0.7" top="0.75" bottom="0.75" header="0.3" footer="0.3"/>
  <headerFooter>
    <oddFooter>&amp;L_x000D_&amp;1#&amp;"Calibri"&amp;8&amp;K000000 [AIA - INTERNAL]</oddFooter>
  </headerFooter>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95E84-9AFF-4589-9A3E-3EDC935507C9}">
  <dimension ref="A1"/>
  <sheetViews>
    <sheetView workbookViewId="0">
      <selection activeCell="O16" sqref="O16"/>
    </sheetView>
  </sheetViews>
  <sheetFormatPr defaultRowHeight="17.45"/>
  <sheetData/>
  <sheetProtection algorithmName="SHA-512" hashValue="mXrwy6PyYhEAe9Go/9nD7WFU05SwnH9Fd5pkiNv7540UVnm65dz3TgMM8i7s1DnUO6D4oFsIuxi+rqYNm6BKlQ==" saltValue="QRc2UINsuCFdrkW4IXTxvA==" spinCount="100000" sheet="1" objects="1" scenarios="1"/>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workbookViewId="0">
      <selection activeCell="C17" sqref="C17"/>
    </sheetView>
  </sheetViews>
  <sheetFormatPr defaultRowHeight="17.45"/>
  <cols>
    <col min="1" max="1" width="12.75" bestFit="1" customWidth="1"/>
    <col min="2" max="2" width="13.875" bestFit="1" customWidth="1"/>
    <col min="3" max="4" width="9.5" bestFit="1" customWidth="1"/>
    <col min="5" max="5" width="35.375" bestFit="1" customWidth="1"/>
    <col min="6" max="6" width="44.25" bestFit="1" customWidth="1"/>
    <col min="7" max="7" width="9.75" customWidth="1"/>
    <col min="8" max="8" width="10.125" customWidth="1"/>
  </cols>
  <sheetData>
    <row r="1" spans="1:7" ht="18" thickBot="1">
      <c r="A1" s="11" t="s">
        <v>379</v>
      </c>
      <c r="B1" s="11" t="s">
        <v>5</v>
      </c>
      <c r="C1" s="11" t="s">
        <v>380</v>
      </c>
      <c r="D1" s="11" t="s">
        <v>381</v>
      </c>
      <c r="E1" s="11" t="s">
        <v>204</v>
      </c>
      <c r="F1" s="11" t="s">
        <v>382</v>
      </c>
      <c r="G1" s="11" t="s">
        <v>383</v>
      </c>
    </row>
    <row r="2" spans="1:7" ht="18" thickBot="1">
      <c r="A2" s="747" t="s">
        <v>384</v>
      </c>
      <c r="B2" s="1" t="s">
        <v>385</v>
      </c>
      <c r="C2" s="2" t="s">
        <v>129</v>
      </c>
      <c r="D2" s="2" t="s">
        <v>129</v>
      </c>
      <c r="E2" s="12" t="s">
        <v>386</v>
      </c>
      <c r="F2" s="13"/>
      <c r="G2" s="2" t="s">
        <v>129</v>
      </c>
    </row>
    <row r="3" spans="1:7" ht="31.9" thickBot="1">
      <c r="A3" s="748"/>
      <c r="B3" s="3" t="s">
        <v>387</v>
      </c>
      <c r="C3" s="4" t="s">
        <v>129</v>
      </c>
      <c r="D3" s="4" t="s">
        <v>129</v>
      </c>
      <c r="E3" s="14" t="s">
        <v>388</v>
      </c>
      <c r="F3" s="15"/>
      <c r="G3" s="4" t="s">
        <v>129</v>
      </c>
    </row>
    <row r="4" spans="1:7" ht="31.15">
      <c r="A4" s="16" t="s">
        <v>389</v>
      </c>
      <c r="B4" s="1" t="s">
        <v>390</v>
      </c>
      <c r="C4" s="5" t="s">
        <v>391</v>
      </c>
      <c r="D4" s="5" t="s">
        <v>392</v>
      </c>
      <c r="E4" s="12" t="s">
        <v>393</v>
      </c>
      <c r="F4" s="12" t="s">
        <v>394</v>
      </c>
      <c r="G4" s="5">
        <v>0.98399999999999999</v>
      </c>
    </row>
    <row r="5" spans="1:7" ht="31.9" thickBot="1">
      <c r="A5" s="747" t="s">
        <v>395</v>
      </c>
      <c r="B5" s="1" t="s">
        <v>396</v>
      </c>
      <c r="C5" s="2" t="s">
        <v>129</v>
      </c>
      <c r="D5" s="5" t="s">
        <v>397</v>
      </c>
      <c r="E5" s="12" t="s">
        <v>398</v>
      </c>
      <c r="F5" s="13"/>
      <c r="G5" s="750">
        <v>0.98399999999999999</v>
      </c>
    </row>
    <row r="6" spans="1:7" ht="18.75" customHeight="1">
      <c r="A6" s="749"/>
      <c r="B6" s="1" t="s">
        <v>399</v>
      </c>
      <c r="C6" s="752" t="s">
        <v>129</v>
      </c>
      <c r="D6" s="5">
        <v>0.82499999999999996</v>
      </c>
      <c r="E6" s="754" t="s">
        <v>400</v>
      </c>
      <c r="F6" s="756"/>
      <c r="G6" s="751"/>
    </row>
    <row r="7" spans="1:7" ht="18" thickBot="1">
      <c r="A7" s="749"/>
      <c r="B7" s="7" t="s">
        <v>401</v>
      </c>
      <c r="C7" s="753"/>
      <c r="D7" s="6" t="s">
        <v>402</v>
      </c>
      <c r="E7" s="755"/>
      <c r="F7" s="757"/>
      <c r="G7" s="751"/>
    </row>
    <row r="8" spans="1:7" ht="30.75" customHeight="1" thickBot="1">
      <c r="A8" s="749"/>
      <c r="B8" s="1" t="s">
        <v>403</v>
      </c>
      <c r="C8" s="2" t="s">
        <v>129</v>
      </c>
      <c r="D8" s="18" t="s">
        <v>129</v>
      </c>
      <c r="E8" s="13"/>
      <c r="F8" s="12" t="s">
        <v>404</v>
      </c>
      <c r="G8" s="751"/>
    </row>
    <row r="9" spans="1:7" ht="31.15">
      <c r="A9" s="749"/>
      <c r="B9" s="1" t="s">
        <v>405</v>
      </c>
      <c r="C9" s="2" t="s">
        <v>129</v>
      </c>
      <c r="D9" s="8" t="s">
        <v>129</v>
      </c>
      <c r="E9" s="13"/>
      <c r="F9" s="12" t="s">
        <v>406</v>
      </c>
      <c r="G9" s="751"/>
    </row>
    <row r="10" spans="1:7" ht="46.9">
      <c r="A10" s="749"/>
      <c r="B10" s="1" t="s">
        <v>407</v>
      </c>
      <c r="C10" s="17"/>
      <c r="D10" s="5" t="s">
        <v>408</v>
      </c>
      <c r="E10" s="12" t="s">
        <v>409</v>
      </c>
      <c r="F10" s="12" t="s">
        <v>410</v>
      </c>
      <c r="G10" s="5">
        <v>0.98399999999999999</v>
      </c>
    </row>
    <row r="11" spans="1:7" ht="18" thickBot="1">
      <c r="A11" s="9" t="s">
        <v>411</v>
      </c>
      <c r="B11" s="3" t="s">
        <v>412</v>
      </c>
      <c r="C11" s="4" t="s">
        <v>129</v>
      </c>
      <c r="D11" s="4" t="s">
        <v>129</v>
      </c>
      <c r="E11" s="15"/>
      <c r="F11" s="15"/>
      <c r="G11" s="10">
        <v>0.98399999999999999</v>
      </c>
    </row>
    <row r="12" spans="1:7" ht="47.45" thickBot="1">
      <c r="A12" s="9" t="s">
        <v>413</v>
      </c>
      <c r="B12" s="3" t="s">
        <v>21</v>
      </c>
      <c r="C12" s="4" t="s">
        <v>129</v>
      </c>
      <c r="D12" s="4" t="s">
        <v>129</v>
      </c>
      <c r="E12" s="14" t="s">
        <v>414</v>
      </c>
      <c r="F12" s="14" t="s">
        <v>415</v>
      </c>
      <c r="G12" s="4" t="s">
        <v>129</v>
      </c>
    </row>
  </sheetData>
  <mergeCells count="6">
    <mergeCell ref="A2:A3"/>
    <mergeCell ref="A5:A10"/>
    <mergeCell ref="G5:G9"/>
    <mergeCell ref="C6:C7"/>
    <mergeCell ref="E6:E7"/>
    <mergeCell ref="F6:F7"/>
  </mergeCells>
  <phoneticPr fontId="2" type="noConversion"/>
  <pageMargins left="0.7" right="0.7" top="0.75" bottom="0.75" header="0.3" footer="0.3"/>
  <headerFooter>
    <oddFooter>&amp;L_x000D_&amp;1#&amp;"Calibri"&amp;8&amp;K000000 [AIA -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4c3f9a0-5056-4c00-a35b-3134cd1a4cd2" xsi:nil="true"/>
    <lcf76f155ced4ddcb4097134ff3c332f xmlns="0b2e2a9b-d400-413c-a501-739911b2d9dd">
      <Terms xmlns="http://schemas.microsoft.com/office/infopath/2007/PartnerControls"/>
    </lcf76f155ced4ddcb4097134ff3c332f>
    <_xac1c__xc218_ xmlns="0b2e2a9b-d400-413c-a501-739911b2d9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E948F029DAC45A4788388BD9E36C8153" ma:contentTypeVersion="13" ma:contentTypeDescription="새 문서를 만듭니다." ma:contentTypeScope="" ma:versionID="bd6b133188bef778d5dd9128f4831f54">
  <xsd:schema xmlns:xsd="http://www.w3.org/2001/XMLSchema" xmlns:xs="http://www.w3.org/2001/XMLSchema" xmlns:p="http://schemas.microsoft.com/office/2006/metadata/properties" xmlns:ns2="0b2e2a9b-d400-413c-a501-739911b2d9dd" xmlns:ns3="34c3f9a0-5056-4c00-a35b-3134cd1a4cd2" targetNamespace="http://schemas.microsoft.com/office/2006/metadata/properties" ma:root="true" ma:fieldsID="db91a73eed5e5a2715c94bead0e1a091" ns2:_="" ns3:_="">
    <xsd:import namespace="0b2e2a9b-d400-413c-a501-739911b2d9dd"/>
    <xsd:import namespace="34c3f9a0-5056-4c00-a35b-3134cd1a4c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_xac1c__xc218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2e2a9b-d400-413c-a501-739911b2d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4634e366-ae95-41d0-943d-34bceefa30d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xac1c__xc218_" ma:index="20" nillable="true" ma:displayName="개수" ma:format="Dropdown" ma:internalName="_xac1c__xc218_"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34c3f9a0-5056-4c00-a35b-3134cd1a4cd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66b1615-df83-4062-95e3-cd8cd0c2883e}" ma:internalName="TaxCatchAll" ma:showField="CatchAllData" ma:web="34c3f9a0-5056-4c00-a35b-3134cd1a4c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A377D1-A87D-40DD-8BAA-913CF5D770B4}"/>
</file>

<file path=customXml/itemProps2.xml><?xml version="1.0" encoding="utf-8"?>
<ds:datastoreItem xmlns:ds="http://schemas.openxmlformats.org/officeDocument/2006/customXml" ds:itemID="{A39955CB-645D-4D4D-88DE-418DD326933B}"/>
</file>

<file path=customXml/itemProps3.xml><?xml version="1.0" encoding="utf-8"?>
<ds:datastoreItem xmlns:ds="http://schemas.openxmlformats.org/officeDocument/2006/customXml" ds:itemID="{6569F313-20B4-49C5-BD5E-0472812979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Choi, Sungjun (SAM Project)</dc:creator>
  <cp:keywords/>
  <dc:description/>
  <cp:lastModifiedBy/>
  <cp:revision/>
  <dcterms:created xsi:type="dcterms:W3CDTF">2015-06-05T18:17:20Z</dcterms:created>
  <dcterms:modified xsi:type="dcterms:W3CDTF">2026-03-27T04:37:57Z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RClass">
    <vt:lpwstr>0</vt:lpwstr>
  </property>
  <property fmtid="{D5CDD505-2E9C-101B-9397-08002B2CF9AE}" pid="3" name="FDRSet">
    <vt:lpwstr>manual</vt:lpwstr>
  </property>
  <property fmtid="{D5CDD505-2E9C-101B-9397-08002B2CF9AE}" pid="4" name="ContentTypeId">
    <vt:lpwstr>0x010100E948F029DAC45A4788388BD9E36C8153</vt:lpwstr>
  </property>
  <property fmtid="{D5CDD505-2E9C-101B-9397-08002B2CF9AE}" pid="5" name="MediaServiceImageTags">
    <vt:lpwstr/>
  </property>
  <property fmtid="{D5CDD505-2E9C-101B-9397-08002B2CF9AE}" pid="6" name="MSIP_Label_7ce0ae7d-b8fe-44ed-a8f3-b165aaa704f8_Enabled">
    <vt:lpwstr>true</vt:lpwstr>
  </property>
  <property fmtid="{D5CDD505-2E9C-101B-9397-08002B2CF9AE}" pid="7" name="MSIP_Label_7ce0ae7d-b8fe-44ed-a8f3-b165aaa704f8_SetDate">
    <vt:lpwstr>2026-03-19T05:25:04Z</vt:lpwstr>
  </property>
  <property fmtid="{D5CDD505-2E9C-101B-9397-08002B2CF9AE}" pid="8" name="MSIP_Label_7ce0ae7d-b8fe-44ed-a8f3-b165aaa704f8_Method">
    <vt:lpwstr>Standard</vt:lpwstr>
  </property>
  <property fmtid="{D5CDD505-2E9C-101B-9397-08002B2CF9AE}" pid="9" name="MSIP_Label_7ce0ae7d-b8fe-44ed-a8f3-b165aaa704f8_Name">
    <vt:lpwstr>Restricted</vt:lpwstr>
  </property>
  <property fmtid="{D5CDD505-2E9C-101B-9397-08002B2CF9AE}" pid="10" name="MSIP_Label_7ce0ae7d-b8fe-44ed-a8f3-b165aaa704f8_SiteId">
    <vt:lpwstr>7f2c1900-9fd4-4b89-91d3-79a649996f0a</vt:lpwstr>
  </property>
  <property fmtid="{D5CDD505-2E9C-101B-9397-08002B2CF9AE}" pid="11" name="MSIP_Label_7ce0ae7d-b8fe-44ed-a8f3-b165aaa704f8_ActionId">
    <vt:lpwstr>0f672b13-d735-41b5-9112-afaea942b2a0</vt:lpwstr>
  </property>
  <property fmtid="{D5CDD505-2E9C-101B-9397-08002B2CF9AE}" pid="12" name="MSIP_Label_7ce0ae7d-b8fe-44ed-a8f3-b165aaa704f8_ContentBits">
    <vt:lpwstr>2</vt:lpwstr>
  </property>
  <property fmtid="{D5CDD505-2E9C-101B-9397-08002B2CF9AE}" pid="13" name="MSIP_Label_7ce0ae7d-b8fe-44ed-a8f3-b165aaa704f8_Tag">
    <vt:lpwstr>10, 3, 0, 2</vt:lpwstr>
  </property>
</Properties>
</file>